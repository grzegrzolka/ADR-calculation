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zuoppp-my.sharepoint.com/personal/andrzej_grzegrzolka_zuop_gov_pl/Documents/Pulpit/python_ADR/"/>
    </mc:Choice>
  </mc:AlternateContent>
  <xr:revisionPtr revIDLastSave="2" documentId="13_ncr:1_{B4D9BE57-C552-4102-91ED-BC7F7A794408}" xr6:coauthVersionLast="47" xr6:coauthVersionMax="47" xr10:uidLastSave="{37153FE0-829D-423A-A200-CE6A95F2E495}"/>
  <bookViews>
    <workbookView xWindow="28680" yWindow="-120" windowWidth="38640" windowHeight="21840" activeTab="2" xr2:uid="{00000000-000D-0000-FFFF-FFFF00000000}"/>
  </bookViews>
  <sheets>
    <sheet name="Calculation of activity" sheetId="2" r:id="rId1"/>
    <sheet name="Classification of waste 1" sheetId="8" r:id="rId2"/>
    <sheet name="D-Value_A1_A2_Exempted" sheetId="10" r:id="rId3"/>
  </sheets>
  <definedNames>
    <definedName name="_xlnm._FilterDatabase" localSheetId="2" hidden="1">'D-Value_A1_A2_Exempted'!$A$1:$S$372</definedName>
    <definedName name="izoto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2" l="1"/>
  <c r="B13" i="2"/>
  <c r="C36" i="8" l="1"/>
  <c r="U36" i="8" s="1"/>
  <c r="D4" i="8" l="1"/>
  <c r="AB4" i="8" s="1"/>
  <c r="D5" i="8"/>
  <c r="AB5" i="8" s="1"/>
  <c r="D6" i="8"/>
  <c r="AB6" i="8" s="1"/>
  <c r="D7" i="8"/>
  <c r="AB7" i="8" s="1"/>
  <c r="D8" i="8"/>
  <c r="AB8" i="8" s="1"/>
  <c r="D9" i="8"/>
  <c r="D10" i="8"/>
  <c r="AB10" i="8" s="1"/>
  <c r="D11" i="8"/>
  <c r="D12" i="8"/>
  <c r="D13" i="8"/>
  <c r="AB13" i="8" s="1"/>
  <c r="D14" i="8"/>
  <c r="AB14" i="8" s="1"/>
  <c r="D15" i="8"/>
  <c r="AB15" i="8" s="1"/>
  <c r="D16" i="8"/>
  <c r="AB16" i="8" s="1"/>
  <c r="D17" i="8"/>
  <c r="D18" i="8"/>
  <c r="D19" i="8"/>
  <c r="AB19" i="8" s="1"/>
  <c r="D20" i="8"/>
  <c r="AB20" i="8" s="1"/>
  <c r="D21" i="8"/>
  <c r="AB21" i="8" s="1"/>
  <c r="D22" i="8"/>
  <c r="AB22" i="8" s="1"/>
  <c r="D23" i="8"/>
  <c r="AB23" i="8" s="1"/>
  <c r="D24" i="8"/>
  <c r="AB24" i="8" s="1"/>
  <c r="D25" i="8"/>
  <c r="AB25" i="8" s="1"/>
  <c r="D26" i="8"/>
  <c r="AB26" i="8" s="1"/>
  <c r="D27" i="8"/>
  <c r="AB27" i="8" s="1"/>
  <c r="D28" i="8"/>
  <c r="D29" i="8"/>
  <c r="AB29" i="8" s="1"/>
  <c r="D30" i="8"/>
  <c r="AB30" i="8" s="1"/>
  <c r="D31" i="8"/>
  <c r="AB31" i="8" s="1"/>
  <c r="D32" i="8"/>
  <c r="AB32" i="8" s="1"/>
  <c r="D33" i="8"/>
  <c r="AB33" i="8" s="1"/>
  <c r="D34" i="8"/>
  <c r="AB34" i="8" s="1"/>
  <c r="D35" i="8"/>
  <c r="AB35" i="8" s="1"/>
  <c r="D36" i="8"/>
  <c r="AB36" i="8" s="1"/>
  <c r="D37" i="8"/>
  <c r="AB37" i="8" s="1"/>
  <c r="D38" i="8"/>
  <c r="AB38" i="8" s="1"/>
  <c r="D39" i="8"/>
  <c r="AB39" i="8" s="1"/>
  <c r="D40" i="8"/>
  <c r="D3" i="8"/>
  <c r="AB3" i="8" s="1"/>
  <c r="AC3" i="8" s="1"/>
  <c r="AC4" i="8" l="1"/>
  <c r="AC5" i="8" s="1"/>
  <c r="AC6" i="8" s="1"/>
  <c r="AC7" i="8" s="1"/>
  <c r="AC8" i="8" s="1"/>
  <c r="Z30" i="8"/>
  <c r="Q30" i="8" s="1"/>
  <c r="Z32" i="8"/>
  <c r="Q32" i="8" s="1"/>
  <c r="Z33" i="8"/>
  <c r="Q33" i="8" s="1"/>
  <c r="Z34" i="8"/>
  <c r="Q34" i="8" s="1"/>
  <c r="Z35" i="8"/>
  <c r="S29" i="8"/>
  <c r="S30" i="8"/>
  <c r="S31" i="8"/>
  <c r="S32" i="8"/>
  <c r="S25" i="8"/>
  <c r="S26" i="8"/>
  <c r="S27" i="8"/>
  <c r="S28" i="8"/>
  <c r="S33" i="8"/>
  <c r="S34" i="8"/>
  <c r="N29" i="8"/>
  <c r="N30" i="8"/>
  <c r="N31" i="8"/>
  <c r="N32" i="8"/>
  <c r="N33" i="8"/>
  <c r="C31" i="8" l="1"/>
  <c r="U31" i="8" s="1"/>
  <c r="E31" i="8"/>
  <c r="AD31" i="8" s="1"/>
  <c r="F31" i="8"/>
  <c r="AH31" i="8" s="1"/>
  <c r="G31" i="8"/>
  <c r="AF31" i="8" s="1"/>
  <c r="H31" i="8"/>
  <c r="Z31" i="8" l="1"/>
  <c r="Q31" i="8" s="1"/>
  <c r="AP31" i="8"/>
  <c r="AR31" i="8" s="1"/>
  <c r="AJ31" i="8"/>
  <c r="K31" i="8"/>
  <c r="AL31" i="8" s="1"/>
  <c r="AN31" i="8" s="1"/>
  <c r="V31" i="8"/>
  <c r="X31" i="8" s="1"/>
  <c r="V7" i="8"/>
  <c r="V8" i="8"/>
  <c r="V10" i="8"/>
  <c r="V13" i="8"/>
  <c r="V14" i="8"/>
  <c r="V15" i="8"/>
  <c r="V16" i="8"/>
  <c r="V19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35" i="8"/>
  <c r="S36" i="8"/>
  <c r="S37" i="8"/>
  <c r="S38" i="8"/>
  <c r="S39" i="8"/>
  <c r="S40" i="8"/>
  <c r="Q8" i="8"/>
  <c r="Q20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Z7" i="8"/>
  <c r="Q7" i="8" s="1"/>
  <c r="Z8" i="8"/>
  <c r="G14" i="8" l="1"/>
  <c r="X14" i="8" s="1"/>
  <c r="G15" i="8"/>
  <c r="X15" i="8" s="1"/>
  <c r="G16" i="8"/>
  <c r="X16" i="8" s="1"/>
  <c r="G17" i="8"/>
  <c r="G18" i="8"/>
  <c r="G19" i="8"/>
  <c r="X19" i="8" s="1"/>
  <c r="G20" i="8"/>
  <c r="G21" i="8"/>
  <c r="G22" i="8"/>
  <c r="G23" i="8"/>
  <c r="G24" i="8"/>
  <c r="G25" i="8"/>
  <c r="G26" i="8"/>
  <c r="G27" i="8"/>
  <c r="G28" i="8"/>
  <c r="G29" i="8"/>
  <c r="G30" i="8"/>
  <c r="G32" i="8"/>
  <c r="G33" i="8"/>
  <c r="G34" i="8"/>
  <c r="G35" i="8"/>
  <c r="G36" i="8"/>
  <c r="G37" i="8"/>
  <c r="G38" i="8"/>
  <c r="G39" i="8"/>
  <c r="G40" i="8"/>
  <c r="G4" i="8"/>
  <c r="G5" i="8"/>
  <c r="G6" i="8"/>
  <c r="G7" i="8"/>
  <c r="X7" i="8" s="1"/>
  <c r="G8" i="8"/>
  <c r="X8" i="8" s="1"/>
  <c r="G9" i="8"/>
  <c r="G10" i="8"/>
  <c r="X10" i="8" s="1"/>
  <c r="G11" i="8"/>
  <c r="G12" i="8"/>
  <c r="G13" i="8"/>
  <c r="X13" i="8" s="1"/>
  <c r="G3" i="8"/>
  <c r="H5" i="8"/>
  <c r="H6" i="8"/>
  <c r="H7" i="8"/>
  <c r="H8" i="8"/>
  <c r="H9" i="8"/>
  <c r="H10" i="8"/>
  <c r="H11" i="8"/>
  <c r="AB11" i="8" s="1"/>
  <c r="H12" i="8"/>
  <c r="AB12" i="8" s="1"/>
  <c r="H13" i="8"/>
  <c r="H14" i="8"/>
  <c r="K14" i="8" s="1"/>
  <c r="H15" i="8"/>
  <c r="K15" i="8" s="1"/>
  <c r="H16" i="8"/>
  <c r="H17" i="8"/>
  <c r="AB17" i="8" s="1"/>
  <c r="H18" i="8"/>
  <c r="AB18" i="8" s="1"/>
  <c r="H19" i="8"/>
  <c r="H20" i="8"/>
  <c r="H21" i="8"/>
  <c r="H22" i="8"/>
  <c r="K22" i="8" s="1"/>
  <c r="H23" i="8"/>
  <c r="K23" i="8" s="1"/>
  <c r="H24" i="8"/>
  <c r="H25" i="8"/>
  <c r="H26" i="8"/>
  <c r="H27" i="8"/>
  <c r="H28" i="8"/>
  <c r="AB28" i="8" s="1"/>
  <c r="H29" i="8"/>
  <c r="H30" i="8"/>
  <c r="H32" i="8"/>
  <c r="K32" i="8" s="1"/>
  <c r="H33" i="8"/>
  <c r="H34" i="8"/>
  <c r="H35" i="8"/>
  <c r="H36" i="8"/>
  <c r="H37" i="8"/>
  <c r="H38" i="8"/>
  <c r="H39" i="8"/>
  <c r="H40" i="8"/>
  <c r="AB40" i="8" s="1"/>
  <c r="H4" i="8"/>
  <c r="C6" i="8"/>
  <c r="U6" i="8" s="1"/>
  <c r="E6" i="8"/>
  <c r="AD6" i="8" s="1"/>
  <c r="F6" i="8"/>
  <c r="AH6" i="8" s="1"/>
  <c r="N6" i="8"/>
  <c r="C7" i="8"/>
  <c r="U7" i="8" s="1"/>
  <c r="E7" i="8"/>
  <c r="AD7" i="8" s="1"/>
  <c r="F7" i="8"/>
  <c r="AH7" i="8" s="1"/>
  <c r="C8" i="8"/>
  <c r="U8" i="8" s="1"/>
  <c r="E8" i="8"/>
  <c r="AD8" i="8" s="1"/>
  <c r="F8" i="8"/>
  <c r="AH8" i="8" s="1"/>
  <c r="C9" i="8"/>
  <c r="E9" i="8"/>
  <c r="AD9" i="8" s="1"/>
  <c r="F9" i="8"/>
  <c r="C10" i="8"/>
  <c r="U10" i="8" s="1"/>
  <c r="E10" i="8"/>
  <c r="AD10" i="8" s="1"/>
  <c r="F10" i="8"/>
  <c r="AH10" i="8" s="1"/>
  <c r="Z10" i="8"/>
  <c r="Q10" i="8" s="1"/>
  <c r="C11" i="8"/>
  <c r="E11" i="8"/>
  <c r="F11" i="8"/>
  <c r="AH11" i="8" s="1"/>
  <c r="C12" i="8"/>
  <c r="E12" i="8"/>
  <c r="F12" i="8"/>
  <c r="AH12" i="8" s="1"/>
  <c r="C13" i="8"/>
  <c r="U13" i="8" s="1"/>
  <c r="E13" i="8"/>
  <c r="AD13" i="8" s="1"/>
  <c r="F13" i="8"/>
  <c r="AH13" i="8" s="1"/>
  <c r="Z13" i="8"/>
  <c r="Q13" i="8" s="1"/>
  <c r="C14" i="8"/>
  <c r="U14" i="8" s="1"/>
  <c r="E14" i="8"/>
  <c r="AD14" i="8" s="1"/>
  <c r="AF14" i="8" s="1"/>
  <c r="F14" i="8"/>
  <c r="AH14" i="8" s="1"/>
  <c r="AJ14" i="8" s="1"/>
  <c r="Z14" i="8"/>
  <c r="Q14" i="8" s="1"/>
  <c r="C15" i="8"/>
  <c r="U15" i="8" s="1"/>
  <c r="E15" i="8"/>
  <c r="AD15" i="8" s="1"/>
  <c r="AF15" i="8" s="1"/>
  <c r="F15" i="8"/>
  <c r="AH15" i="8" s="1"/>
  <c r="AJ15" i="8" s="1"/>
  <c r="Z15" i="8"/>
  <c r="Q15" i="8" s="1"/>
  <c r="C16" i="8"/>
  <c r="U16" i="8" s="1"/>
  <c r="E16" i="8"/>
  <c r="AD16" i="8" s="1"/>
  <c r="AF16" i="8" s="1"/>
  <c r="F16" i="8"/>
  <c r="AH16" i="8" s="1"/>
  <c r="AJ16" i="8" s="1"/>
  <c r="Z16" i="8"/>
  <c r="Q16" i="8" s="1"/>
  <c r="C17" i="8"/>
  <c r="U17" i="8" s="1"/>
  <c r="E17" i="8"/>
  <c r="AD17" i="8" s="1"/>
  <c r="F17" i="8"/>
  <c r="AH17" i="8" s="1"/>
  <c r="Z17" i="8"/>
  <c r="Q17" i="8" s="1"/>
  <c r="C18" i="8"/>
  <c r="E18" i="8"/>
  <c r="F18" i="8"/>
  <c r="AH18" i="8" s="1"/>
  <c r="AJ18" i="8" s="1"/>
  <c r="C19" i="8"/>
  <c r="U19" i="8" s="1"/>
  <c r="E19" i="8"/>
  <c r="AD19" i="8" s="1"/>
  <c r="F19" i="8"/>
  <c r="AH19" i="8" s="1"/>
  <c r="Z19" i="8"/>
  <c r="Q19" i="8" s="1"/>
  <c r="C20" i="8"/>
  <c r="E20" i="8"/>
  <c r="F20" i="8"/>
  <c r="AD20" i="8"/>
  <c r="C21" i="8"/>
  <c r="E21" i="8"/>
  <c r="AD21" i="8" s="1"/>
  <c r="F21" i="8"/>
  <c r="N21" i="8"/>
  <c r="C22" i="8"/>
  <c r="U22" i="8" s="1"/>
  <c r="E22" i="8"/>
  <c r="AD22" i="8" s="1"/>
  <c r="F22" i="8"/>
  <c r="AH22" i="8" s="1"/>
  <c r="AJ22" i="8" s="1"/>
  <c r="N22" i="8"/>
  <c r="Z22" i="8"/>
  <c r="Q22" i="8" s="1"/>
  <c r="C23" i="8"/>
  <c r="U23" i="8" s="1"/>
  <c r="E23" i="8"/>
  <c r="AD23" i="8" s="1"/>
  <c r="F23" i="8"/>
  <c r="AH23" i="8" s="1"/>
  <c r="AJ23" i="8" s="1"/>
  <c r="N23" i="8"/>
  <c r="Z23" i="8"/>
  <c r="Q23" i="8" s="1"/>
  <c r="C24" i="8"/>
  <c r="U24" i="8" s="1"/>
  <c r="E24" i="8"/>
  <c r="AD24" i="8" s="1"/>
  <c r="F24" i="8"/>
  <c r="AH24" i="8" s="1"/>
  <c r="N24" i="8"/>
  <c r="V24" i="8"/>
  <c r="Z24" i="8"/>
  <c r="Q24" i="8" s="1"/>
  <c r="C25" i="8"/>
  <c r="E25" i="8"/>
  <c r="AD25" i="8" s="1"/>
  <c r="F25" i="8"/>
  <c r="AH25" i="8" s="1"/>
  <c r="N25" i="8"/>
  <c r="V25" i="8"/>
  <c r="Z25" i="8"/>
  <c r="Q25" i="8" s="1"/>
  <c r="X24" i="8" l="1"/>
  <c r="K16" i="8"/>
  <c r="V12" i="8"/>
  <c r="X12" i="8" s="1"/>
  <c r="U12" i="8"/>
  <c r="V18" i="8"/>
  <c r="U18" i="8"/>
  <c r="Z9" i="8"/>
  <c r="Q9" i="8" s="1"/>
  <c r="U9" i="8"/>
  <c r="V11" i="8"/>
  <c r="X11" i="8" s="1"/>
  <c r="U11" i="8"/>
  <c r="V21" i="8"/>
  <c r="X21" i="8" s="1"/>
  <c r="U21" i="8"/>
  <c r="AP25" i="8"/>
  <c r="AR25" i="8" s="1"/>
  <c r="U25" i="8"/>
  <c r="V20" i="8"/>
  <c r="U20" i="8"/>
  <c r="AH9" i="8"/>
  <c r="AJ9" i="8" s="1"/>
  <c r="AF6" i="8"/>
  <c r="Z21" i="8"/>
  <c r="Q21" i="8" s="1"/>
  <c r="AF10" i="8"/>
  <c r="AJ17" i="8"/>
  <c r="AF17" i="8"/>
  <c r="K17" i="8"/>
  <c r="AL17" i="8" s="1"/>
  <c r="AN17" i="8" s="1"/>
  <c r="X25" i="8"/>
  <c r="AJ10" i="8"/>
  <c r="K29" i="8"/>
  <c r="K38" i="8"/>
  <c r="K9" i="8"/>
  <c r="AL9" i="8" s="1"/>
  <c r="AN9" i="8" s="1"/>
  <c r="AB9" i="8"/>
  <c r="AC9" i="8" s="1"/>
  <c r="AC10" i="8" s="1"/>
  <c r="AC11" i="8" s="1"/>
  <c r="AC12" i="8" s="1"/>
  <c r="AC13" i="8" s="1"/>
  <c r="AC14" i="8" s="1"/>
  <c r="AC15" i="8" s="1"/>
  <c r="AC16" i="8" s="1"/>
  <c r="AC17" i="8" s="1"/>
  <c r="AC18" i="8" s="1"/>
  <c r="AC19" i="8" s="1"/>
  <c r="AC20" i="8" s="1"/>
  <c r="AC21" i="8" s="1"/>
  <c r="AC22" i="8" s="1"/>
  <c r="AC23" i="8" s="1"/>
  <c r="AC24" i="8" s="1"/>
  <c r="AC25" i="8" s="1"/>
  <c r="AC26" i="8" s="1"/>
  <c r="AC27" i="8" s="1"/>
  <c r="AC28" i="8" s="1"/>
  <c r="AC29" i="8" s="1"/>
  <c r="AC30" i="8" s="1"/>
  <c r="AC31" i="8" s="1"/>
  <c r="AC32" i="8" s="1"/>
  <c r="AC33" i="8" s="1"/>
  <c r="AC34" i="8" s="1"/>
  <c r="AC35" i="8" s="1"/>
  <c r="AC36" i="8" s="1"/>
  <c r="AC37" i="8" s="1"/>
  <c r="AC38" i="8" s="1"/>
  <c r="AC39" i="8" s="1"/>
  <c r="AC40" i="8" s="1"/>
  <c r="C55" i="8" s="1"/>
  <c r="AF13" i="8"/>
  <c r="Z18" i="8"/>
  <c r="Q18" i="8" s="1"/>
  <c r="K13" i="8"/>
  <c r="AL13" i="8" s="1"/>
  <c r="AN13" i="8" s="1"/>
  <c r="AJ13" i="8"/>
  <c r="AF9" i="8"/>
  <c r="K10" i="8"/>
  <c r="AL10" i="8" s="1"/>
  <c r="AN10" i="8" s="1"/>
  <c r="K40" i="8"/>
  <c r="Z11" i="8"/>
  <c r="Q11" i="8" s="1"/>
  <c r="X18" i="8"/>
  <c r="AD18" i="8"/>
  <c r="AF18" i="8" s="1"/>
  <c r="K36" i="8"/>
  <c r="K27" i="8"/>
  <c r="K28" i="8"/>
  <c r="V17" i="8"/>
  <c r="X17" i="8" s="1"/>
  <c r="AP17" i="8"/>
  <c r="AR17" i="8" s="1"/>
  <c r="AP15" i="8"/>
  <c r="AR15" i="8" s="1"/>
  <c r="AP13" i="8"/>
  <c r="AR13" i="8" s="1"/>
  <c r="AJ8" i="8"/>
  <c r="K19" i="8"/>
  <c r="AL19" i="8" s="1"/>
  <c r="AN19" i="8" s="1"/>
  <c r="AP22" i="8"/>
  <c r="AR22" i="8" s="1"/>
  <c r="V22" i="8"/>
  <c r="X22" i="8" s="1"/>
  <c r="AJ12" i="8"/>
  <c r="AF8" i="8"/>
  <c r="Z6" i="8"/>
  <c r="Q6" i="8" s="1"/>
  <c r="V6" i="8"/>
  <c r="X6" i="8" s="1"/>
  <c r="AP6" i="8"/>
  <c r="AR6" i="8" s="1"/>
  <c r="AP10" i="8"/>
  <c r="AR10" i="8" s="1"/>
  <c r="AJ7" i="8"/>
  <c r="K24" i="8"/>
  <c r="AL24" i="8" s="1"/>
  <c r="AL16" i="8"/>
  <c r="AN16" i="8" s="1"/>
  <c r="K8" i="8"/>
  <c r="AL8" i="8" s="1"/>
  <c r="AN8" i="8" s="1"/>
  <c r="AP19" i="8"/>
  <c r="AR19" i="8" s="1"/>
  <c r="X20" i="8"/>
  <c r="AP8" i="8"/>
  <c r="AR8" i="8" s="1"/>
  <c r="AP24" i="8"/>
  <c r="AR24" i="8" s="1"/>
  <c r="AP16" i="8"/>
  <c r="AR16" i="8" s="1"/>
  <c r="AF7" i="8"/>
  <c r="AL23" i="8"/>
  <c r="AL15" i="8"/>
  <c r="AN15" i="8" s="1"/>
  <c r="K7" i="8"/>
  <c r="AL7" i="8" s="1"/>
  <c r="AN7" i="8" s="1"/>
  <c r="AJ6" i="8"/>
  <c r="V9" i="8"/>
  <c r="X9" i="8" s="1"/>
  <c r="AP9" i="8"/>
  <c r="AR9" i="8" s="1"/>
  <c r="V23" i="8"/>
  <c r="X23" i="8" s="1"/>
  <c r="AP23" i="8"/>
  <c r="AR23" i="8" s="1"/>
  <c r="AP14" i="8"/>
  <c r="AR14" i="8" s="1"/>
  <c r="AJ19" i="8"/>
  <c r="AJ11" i="8"/>
  <c r="AP7" i="8"/>
  <c r="AR7" i="8" s="1"/>
  <c r="K30" i="8"/>
  <c r="AL22" i="8"/>
  <c r="AL14" i="8"/>
  <c r="AN14" i="8" s="1"/>
  <c r="K5" i="8"/>
  <c r="K35" i="8"/>
  <c r="K26" i="8"/>
  <c r="K39" i="8"/>
  <c r="K4" i="8"/>
  <c r="K25" i="8"/>
  <c r="AL25" i="8" s="1"/>
  <c r="K37" i="8"/>
  <c r="K34" i="8"/>
  <c r="K33" i="8"/>
  <c r="AH21" i="8"/>
  <c r="AJ21" i="8" s="1"/>
  <c r="AP21" i="8"/>
  <c r="AR21" i="8" s="1"/>
  <c r="K21" i="8"/>
  <c r="AL21" i="8" s="1"/>
  <c r="AD11" i="8"/>
  <c r="AF11" i="8" s="1"/>
  <c r="AP11" i="8"/>
  <c r="AR11" i="8" s="1"/>
  <c r="K11" i="8"/>
  <c r="AL11" i="8" s="1"/>
  <c r="AN11" i="8" s="1"/>
  <c r="AP18" i="8"/>
  <c r="AR18" i="8" s="1"/>
  <c r="K18" i="8"/>
  <c r="AL18" i="8" s="1"/>
  <c r="AN18" i="8" s="1"/>
  <c r="K20" i="8"/>
  <c r="AL20" i="8" s="1"/>
  <c r="AH20" i="8"/>
  <c r="AJ20" i="8" s="1"/>
  <c r="AP20" i="8"/>
  <c r="AR20" i="8" s="1"/>
  <c r="AP12" i="8"/>
  <c r="AR12" i="8" s="1"/>
  <c r="AD12" i="8"/>
  <c r="K12" i="8"/>
  <c r="AL12" i="8" s="1"/>
  <c r="AN12" i="8" s="1"/>
  <c r="K6" i="8"/>
  <c r="Z12" i="8"/>
  <c r="Q12" i="8" s="1"/>
  <c r="AJ24" i="8"/>
  <c r="AJ25" i="8"/>
  <c r="Z20" i="8"/>
  <c r="AF25" i="8"/>
  <c r="AF24" i="8"/>
  <c r="AF23" i="8"/>
  <c r="AF22" i="8"/>
  <c r="AF21" i="8"/>
  <c r="AF20" i="8"/>
  <c r="AF19" i="8"/>
  <c r="AF12" i="8" l="1"/>
  <c r="AL6" i="8"/>
  <c r="AN22" i="8"/>
  <c r="AN23" i="8"/>
  <c r="AN21" i="8"/>
  <c r="AN20" i="8"/>
  <c r="AN24" i="8"/>
  <c r="AN25" i="8"/>
  <c r="AN6" i="8" l="1"/>
  <c r="B21" i="2"/>
  <c r="B14" i="2"/>
  <c r="B6" i="2"/>
  <c r="C4" i="8"/>
  <c r="U4" i="8" s="1"/>
  <c r="C5" i="8"/>
  <c r="U5" i="8" s="1"/>
  <c r="C26" i="8"/>
  <c r="C27" i="8"/>
  <c r="C28" i="8"/>
  <c r="C29" i="8"/>
  <c r="C30" i="8"/>
  <c r="U30" i="8" s="1"/>
  <c r="C32" i="8"/>
  <c r="U32" i="8" s="1"/>
  <c r="C33" i="8"/>
  <c r="U33" i="8" s="1"/>
  <c r="C34" i="8"/>
  <c r="U34" i="8" s="1"/>
  <c r="C35" i="8"/>
  <c r="U35" i="8" s="1"/>
  <c r="C37" i="8"/>
  <c r="U37" i="8" s="1"/>
  <c r="C38" i="8"/>
  <c r="U38" i="8" s="1"/>
  <c r="C39" i="8"/>
  <c r="U39" i="8" s="1"/>
  <c r="C40" i="8"/>
  <c r="U40" i="8" s="1"/>
  <c r="C3" i="8"/>
  <c r="U3" i="8" s="1"/>
  <c r="AP26" i="8" l="1"/>
  <c r="AR26" i="8" s="1"/>
  <c r="U26" i="8"/>
  <c r="AP27" i="8"/>
  <c r="AR27" i="8" s="1"/>
  <c r="U27" i="8"/>
  <c r="AP29" i="8"/>
  <c r="AR29" i="8" s="1"/>
  <c r="U29" i="8"/>
  <c r="AP28" i="8"/>
  <c r="AR28" i="8" s="1"/>
  <c r="U28" i="8"/>
  <c r="AP34" i="8"/>
  <c r="AR34" i="8" s="1"/>
  <c r="AL34" i="8"/>
  <c r="AN34" i="8" s="1"/>
  <c r="AL33" i="8"/>
  <c r="AN33" i="8" s="1"/>
  <c r="AP33" i="8"/>
  <c r="AR33" i="8" s="1"/>
  <c r="AL32" i="8"/>
  <c r="AN32" i="8" s="1"/>
  <c r="AP32" i="8"/>
  <c r="AR32" i="8" s="1"/>
  <c r="AL30" i="8"/>
  <c r="AN30" i="8" s="1"/>
  <c r="AP30" i="8"/>
  <c r="AR30" i="8" s="1"/>
  <c r="AP35" i="8"/>
  <c r="AR35" i="8" s="1"/>
  <c r="AL35" i="8"/>
  <c r="AN35" i="8" s="1"/>
  <c r="AP5" i="8"/>
  <c r="AR5" i="8" s="1"/>
  <c r="AL5" i="8"/>
  <c r="Z38" i="8"/>
  <c r="Q38" i="8" s="1"/>
  <c r="Z39" i="8"/>
  <c r="Q39" i="8" s="1"/>
  <c r="Z40" i="8"/>
  <c r="Q40" i="8" s="1"/>
  <c r="V40" i="8"/>
  <c r="X40" i="8" s="1"/>
  <c r="V39" i="8"/>
  <c r="X39" i="8" s="1"/>
  <c r="E39" i="8"/>
  <c r="AD39" i="8" s="1"/>
  <c r="F39" i="8"/>
  <c r="AH39" i="8" s="1"/>
  <c r="N39" i="8"/>
  <c r="AP39" i="8" l="1"/>
  <c r="AR39" i="8" s="1"/>
  <c r="AL39" i="8"/>
  <c r="AN39" i="8" s="1"/>
  <c r="AF39" i="8"/>
  <c r="AJ39" i="8"/>
  <c r="AP40" i="8" l="1"/>
  <c r="AR40" i="8" s="1"/>
  <c r="AP38" i="8"/>
  <c r="AR38" i="8" s="1"/>
  <c r="V38" i="8"/>
  <c r="X38" i="8" s="1"/>
  <c r="AL40" i="8"/>
  <c r="AN40" i="8" s="1"/>
  <c r="AL38" i="8"/>
  <c r="AN38" i="8" s="1"/>
  <c r="S4" i="8"/>
  <c r="S5" i="8"/>
  <c r="S3" i="8"/>
  <c r="T3" i="8" s="1"/>
  <c r="T4" i="8" l="1"/>
  <c r="T5" i="8" s="1"/>
  <c r="N5" i="8"/>
  <c r="N3" i="8"/>
  <c r="O3" i="8" s="1"/>
  <c r="N4" i="8"/>
  <c r="N26" i="8"/>
  <c r="N27" i="8"/>
  <c r="N28" i="8"/>
  <c r="N34" i="8"/>
  <c r="N35" i="8"/>
  <c r="N36" i="8"/>
  <c r="N37" i="8"/>
  <c r="N38" i="8"/>
  <c r="N40" i="8"/>
  <c r="T6" i="8" l="1"/>
  <c r="T7" i="8" s="1"/>
  <c r="T8" i="8" s="1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O4" i="8"/>
  <c r="Z3" i="8"/>
  <c r="T31" i="8" l="1"/>
  <c r="T32" i="8" s="1"/>
  <c r="T33" i="8" s="1"/>
  <c r="T34" i="8" s="1"/>
  <c r="T35" i="8" s="1"/>
  <c r="T36" i="8" s="1"/>
  <c r="T37" i="8" s="1"/>
  <c r="T38" i="8" s="1"/>
  <c r="T39" i="8" s="1"/>
  <c r="T40" i="8" s="1"/>
  <c r="P3" i="8"/>
  <c r="Q3" i="8"/>
  <c r="R3" i="8" s="1"/>
  <c r="O5" i="8"/>
  <c r="E26" i="8"/>
  <c r="AD26" i="8" s="1"/>
  <c r="F26" i="8"/>
  <c r="AH26" i="8" s="1"/>
  <c r="Z26" i="8"/>
  <c r="Q26" i="8" s="1"/>
  <c r="E27" i="8"/>
  <c r="AD27" i="8" s="1"/>
  <c r="F27" i="8"/>
  <c r="AH27" i="8" s="1"/>
  <c r="V27" i="8"/>
  <c r="X27" i="8" s="1"/>
  <c r="Z27" i="8"/>
  <c r="Q27" i="8" s="1"/>
  <c r="E28" i="8"/>
  <c r="F28" i="8"/>
  <c r="AH28" i="8" s="1"/>
  <c r="Z28" i="8"/>
  <c r="Q28" i="8" s="1"/>
  <c r="E29" i="8"/>
  <c r="AD29" i="8" s="1"/>
  <c r="F29" i="8"/>
  <c r="AH29" i="8" s="1"/>
  <c r="V29" i="8"/>
  <c r="X29" i="8" s="1"/>
  <c r="Z29" i="8"/>
  <c r="Q29" i="8" s="1"/>
  <c r="E30" i="8"/>
  <c r="AD30" i="8" s="1"/>
  <c r="AF30" i="8" s="1"/>
  <c r="F30" i="8"/>
  <c r="AH30" i="8" s="1"/>
  <c r="AJ30" i="8" s="1"/>
  <c r="V30" i="8"/>
  <c r="X30" i="8" s="1"/>
  <c r="E32" i="8"/>
  <c r="AD32" i="8" s="1"/>
  <c r="AF32" i="8" s="1"/>
  <c r="F32" i="8"/>
  <c r="AH32" i="8" s="1"/>
  <c r="AJ32" i="8" s="1"/>
  <c r="E33" i="8"/>
  <c r="AD33" i="8" s="1"/>
  <c r="AF33" i="8" s="1"/>
  <c r="F33" i="8"/>
  <c r="AH33" i="8" s="1"/>
  <c r="AJ33" i="8" s="1"/>
  <c r="E34" i="8"/>
  <c r="AD34" i="8" s="1"/>
  <c r="AF34" i="8" s="1"/>
  <c r="F34" i="8"/>
  <c r="AH34" i="8" s="1"/>
  <c r="AJ34" i="8" s="1"/>
  <c r="E35" i="8"/>
  <c r="AD35" i="8" s="1"/>
  <c r="AF35" i="8" s="1"/>
  <c r="F35" i="8"/>
  <c r="AH35" i="8" s="1"/>
  <c r="AJ35" i="8" s="1"/>
  <c r="Q35" i="8"/>
  <c r="E36" i="8"/>
  <c r="AD36" i="8" s="1"/>
  <c r="F36" i="8"/>
  <c r="AH36" i="8" s="1"/>
  <c r="Z36" i="8"/>
  <c r="Q36" i="8" s="1"/>
  <c r="E37" i="8"/>
  <c r="AD37" i="8" s="1"/>
  <c r="F37" i="8"/>
  <c r="AH37" i="8" s="1"/>
  <c r="V37" i="8"/>
  <c r="X37" i="8" s="1"/>
  <c r="Z37" i="8"/>
  <c r="Q37" i="8" s="1"/>
  <c r="E38" i="8"/>
  <c r="AD38" i="8" s="1"/>
  <c r="AF38" i="8" s="1"/>
  <c r="F38" i="8"/>
  <c r="AH38" i="8" s="1"/>
  <c r="AJ38" i="8" s="1"/>
  <c r="E40" i="8"/>
  <c r="AD40" i="8" s="1"/>
  <c r="AF40" i="8" s="1"/>
  <c r="F40" i="8"/>
  <c r="AH40" i="8" s="1"/>
  <c r="AJ40" i="8" s="1"/>
  <c r="O6" i="8" l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AD28" i="8"/>
  <c r="AF28" i="8" s="1"/>
  <c r="AF36" i="8"/>
  <c r="AF29" i="8"/>
  <c r="AJ37" i="8"/>
  <c r="AJ36" i="8"/>
  <c r="AJ26" i="8"/>
  <c r="AF37" i="8"/>
  <c r="AJ29" i="8"/>
  <c r="AF26" i="8"/>
  <c r="AF27" i="8"/>
  <c r="AJ27" i="8"/>
  <c r="AJ28" i="8"/>
  <c r="O33" i="8" l="1"/>
  <c r="O34" i="8" s="1"/>
  <c r="O35" i="8" s="1"/>
  <c r="O36" i="8" s="1"/>
  <c r="O37" i="8" s="1"/>
  <c r="O38" i="8" s="1"/>
  <c r="O39" i="8" s="1"/>
  <c r="O40" i="8" s="1"/>
  <c r="B41" i="8"/>
  <c r="E3" i="8" l="1"/>
  <c r="E4" i="8"/>
  <c r="E5" i="8"/>
  <c r="Z5" i="8" l="1"/>
  <c r="F5" i="8"/>
  <c r="AH5" i="8" s="1"/>
  <c r="Q5" i="8" l="1"/>
  <c r="AP36" i="8"/>
  <c r="AR36" i="8" s="1"/>
  <c r="V36" i="8"/>
  <c r="X36" i="8" s="1"/>
  <c r="AL36" i="8"/>
  <c r="AN36" i="8" s="1"/>
  <c r="V34" i="8"/>
  <c r="X34" i="8" s="1"/>
  <c r="AL27" i="8"/>
  <c r="AN27" i="8" s="1"/>
  <c r="V33" i="8"/>
  <c r="X33" i="8" s="1"/>
  <c r="V26" i="8"/>
  <c r="X26" i="8" s="1"/>
  <c r="AL26" i="8"/>
  <c r="AN26" i="8" s="1"/>
  <c r="V32" i="8"/>
  <c r="X32" i="8" s="1"/>
  <c r="AL29" i="8"/>
  <c r="AN29" i="8" s="1"/>
  <c r="V35" i="8"/>
  <c r="X35" i="8" s="1"/>
  <c r="AP37" i="8"/>
  <c r="AR37" i="8" s="1"/>
  <c r="AL37" i="8"/>
  <c r="AN37" i="8" s="1"/>
  <c r="V28" i="8"/>
  <c r="X28" i="8" s="1"/>
  <c r="AL28" i="8"/>
  <c r="AN28" i="8" s="1"/>
  <c r="V5" i="8"/>
  <c r="AD5" i="8"/>
  <c r="F3" i="8"/>
  <c r="F4" i="8"/>
  <c r="AH4" i="8" s="1"/>
  <c r="AD4" i="8"/>
  <c r="X5" i="8" l="1"/>
  <c r="AH3" i="8"/>
  <c r="AX4" i="8"/>
  <c r="H3" i="8"/>
  <c r="AD3" i="8"/>
  <c r="AE3" i="8" l="1"/>
  <c r="AE4" i="8" s="1"/>
  <c r="AE5" i="8" s="1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E16" i="8" s="1"/>
  <c r="AE17" i="8" s="1"/>
  <c r="AE18" i="8" s="1"/>
  <c r="AE19" i="8" s="1"/>
  <c r="I3" i="8"/>
  <c r="I4" i="8" s="1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H41" i="8"/>
  <c r="AI3" i="8"/>
  <c r="AI4" i="8" s="1"/>
  <c r="AI5" i="8" s="1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I16" i="8" s="1"/>
  <c r="AI17" i="8" s="1"/>
  <c r="AI18" i="8" s="1"/>
  <c r="AI19" i="8" s="1"/>
  <c r="AI20" i="8" s="1"/>
  <c r="AI21" i="8" s="1"/>
  <c r="AX25" i="8"/>
  <c r="AY25" i="8" s="1"/>
  <c r="BA25" i="8"/>
  <c r="BB25" i="8" s="1"/>
  <c r="BC25" i="8"/>
  <c r="AY4" i="8"/>
  <c r="AX5" i="8"/>
  <c r="AY5" i="8" s="1"/>
  <c r="AX7" i="8"/>
  <c r="AY7" i="8" s="1"/>
  <c r="AX8" i="8"/>
  <c r="AY8" i="8" s="1"/>
  <c r="AX9" i="8"/>
  <c r="AY9" i="8" s="1"/>
  <c r="AX11" i="8"/>
  <c r="AY11" i="8" s="1"/>
  <c r="AX13" i="8"/>
  <c r="AY13" i="8" s="1"/>
  <c r="AX14" i="8"/>
  <c r="AY14" i="8" s="1"/>
  <c r="AX15" i="8"/>
  <c r="AY15" i="8" s="1"/>
  <c r="AX16" i="8"/>
  <c r="AY16" i="8" s="1"/>
  <c r="AX18" i="8"/>
  <c r="AY18" i="8" s="1"/>
  <c r="AX19" i="8"/>
  <c r="AY19" i="8" s="1"/>
  <c r="AX20" i="8"/>
  <c r="AY20" i="8" s="1"/>
  <c r="AX21" i="8"/>
  <c r="AY21" i="8" s="1"/>
  <c r="AX22" i="8"/>
  <c r="AY22" i="8" s="1"/>
  <c r="AX23" i="8"/>
  <c r="AY23" i="8" s="1"/>
  <c r="AX24" i="8"/>
  <c r="AY24" i="8" s="1"/>
  <c r="AX26" i="8"/>
  <c r="AY26" i="8" s="1"/>
  <c r="AX27" i="8"/>
  <c r="AY27" i="8" s="1"/>
  <c r="AX28" i="8"/>
  <c r="AY28" i="8" s="1"/>
  <c r="AX29" i="8"/>
  <c r="AY29" i="8" s="1"/>
  <c r="AX30" i="8"/>
  <c r="AY30" i="8" s="1"/>
  <c r="AX32" i="8"/>
  <c r="AY32" i="8" s="1"/>
  <c r="AX33" i="8"/>
  <c r="AY33" i="8" s="1"/>
  <c r="AX34" i="8"/>
  <c r="AY34" i="8" s="1"/>
  <c r="AX35" i="8"/>
  <c r="AY35" i="8" s="1"/>
  <c r="AX38" i="8"/>
  <c r="AY38" i="8" s="1"/>
  <c r="AX40" i="8"/>
  <c r="AY40" i="8" s="1"/>
  <c r="BA27" i="8"/>
  <c r="BC27" i="8"/>
  <c r="BA29" i="8"/>
  <c r="BC29" i="8"/>
  <c r="BH29" i="8"/>
  <c r="BI29" i="8" s="1"/>
  <c r="BN29" i="8"/>
  <c r="BA30" i="8"/>
  <c r="BC30" i="8"/>
  <c r="BA32" i="8"/>
  <c r="BC32" i="8"/>
  <c r="BA33" i="8"/>
  <c r="BC33" i="8"/>
  <c r="BA34" i="8"/>
  <c r="BB34" i="8" s="1"/>
  <c r="BC34" i="8"/>
  <c r="BA35" i="8"/>
  <c r="BC35" i="8"/>
  <c r="BH35" i="8"/>
  <c r="BI35" i="8" s="1"/>
  <c r="BN35" i="8"/>
  <c r="BA38" i="8"/>
  <c r="BB38" i="8" s="1"/>
  <c r="BC38" i="8"/>
  <c r="BH38" i="8"/>
  <c r="BI38" i="8" s="1"/>
  <c r="BN38" i="8"/>
  <c r="BA11" i="8"/>
  <c r="BB11" i="8" s="1"/>
  <c r="BC11" i="8"/>
  <c r="BA28" i="8"/>
  <c r="BC28" i="8"/>
  <c r="BA24" i="8"/>
  <c r="BC24" i="8"/>
  <c r="BA9" i="8"/>
  <c r="BB9" i="8" s="1"/>
  <c r="BC9" i="8"/>
  <c r="BA13" i="8"/>
  <c r="BC13" i="8"/>
  <c r="BA14" i="8"/>
  <c r="BC14" i="8"/>
  <c r="AP4" i="8"/>
  <c r="AX3" i="8"/>
  <c r="AY3" i="8" s="1"/>
  <c r="BA26" i="8"/>
  <c r="BB26" i="8" s="1"/>
  <c r="BC26" i="8"/>
  <c r="BN25" i="8"/>
  <c r="BA5" i="8"/>
  <c r="BA7" i="8"/>
  <c r="BA16" i="8"/>
  <c r="BB16" i="8" s="1"/>
  <c r="BC16" i="8"/>
  <c r="BN27" i="8"/>
  <c r="BA8" i="8"/>
  <c r="BC8" i="8"/>
  <c r="BH30" i="8"/>
  <c r="BI30" i="8" s="1"/>
  <c r="BH23" i="8"/>
  <c r="BI23" i="8" s="1"/>
  <c r="BN22" i="8"/>
  <c r="BH40" i="8"/>
  <c r="BI40" i="8" s="1"/>
  <c r="C2" i="2"/>
  <c r="D2" i="2" s="1"/>
  <c r="BA4" i="8"/>
  <c r="BB4" i="8" s="1"/>
  <c r="BA15" i="8"/>
  <c r="BA18" i="8"/>
  <c r="BB18" i="8" s="1"/>
  <c r="BA19" i="8"/>
  <c r="BA20" i="8"/>
  <c r="BB20" i="8" s="1"/>
  <c r="BA21" i="8"/>
  <c r="BA22" i="8"/>
  <c r="BB22" i="8" s="1"/>
  <c r="BA23" i="8"/>
  <c r="BB23" i="8" s="1"/>
  <c r="BA40" i="8"/>
  <c r="BB40" i="8" s="1"/>
  <c r="BA3" i="8"/>
  <c r="BB3" i="8" s="1"/>
  <c r="BC23" i="8"/>
  <c r="BN8" i="8"/>
  <c r="BH19" i="8"/>
  <c r="BI19" i="8" s="1"/>
  <c r="BH9" i="8"/>
  <c r="BI9" i="8" s="1"/>
  <c r="BC22" i="8"/>
  <c r="BC20" i="8"/>
  <c r="BC21" i="8"/>
  <c r="BH13" i="8"/>
  <c r="BI13" i="8" s="1"/>
  <c r="BL13" i="8" s="1"/>
  <c r="BN21" i="8"/>
  <c r="BN14" i="8"/>
  <c r="BN19" i="8"/>
  <c r="BN26" i="8"/>
  <c r="BH32" i="8"/>
  <c r="BI32" i="8" s="1"/>
  <c r="BH34" i="8"/>
  <c r="BI34" i="8" s="1"/>
  <c r="BH33" i="8"/>
  <c r="BI33" i="8" s="1"/>
  <c r="BN33" i="8"/>
  <c r="BN20" i="8"/>
  <c r="BH28" i="8"/>
  <c r="BI28" i="8" s="1"/>
  <c r="BC4" i="8"/>
  <c r="BC5" i="8"/>
  <c r="BC3" i="8"/>
  <c r="BC7" i="8"/>
  <c r="BC15" i="8"/>
  <c r="BC18" i="8"/>
  <c r="BC19" i="8"/>
  <c r="BC40" i="8"/>
  <c r="D10" i="2"/>
  <c r="BN7" i="8"/>
  <c r="BH7" i="8"/>
  <c r="BI7" i="8" s="1"/>
  <c r="BN18" i="8"/>
  <c r="BH18" i="8"/>
  <c r="BI18" i="8" s="1"/>
  <c r="BH4" i="8"/>
  <c r="BI4" i="8" s="1"/>
  <c r="BH3" i="8"/>
  <c r="BI3" i="8" s="1"/>
  <c r="BK3" i="8" s="1"/>
  <c r="BN3" i="8"/>
  <c r="BH20" i="8"/>
  <c r="BI20" i="8" s="1"/>
  <c r="BH26" i="8"/>
  <c r="BI26" i="8" s="1"/>
  <c r="BH11" i="8"/>
  <c r="BI11" i="8" s="1"/>
  <c r="BN11" i="8"/>
  <c r="BH15" i="8"/>
  <c r="BI15" i="8" s="1"/>
  <c r="BN16" i="8"/>
  <c r="BN9" i="8"/>
  <c r="BN34" i="8"/>
  <c r="BH27" i="8"/>
  <c r="BI27" i="8" s="1"/>
  <c r="BH16" i="8"/>
  <c r="BI16" i="8" s="1"/>
  <c r="BN28" i="8"/>
  <c r="BN32" i="8"/>
  <c r="BH5" i="8"/>
  <c r="BI5" i="8" s="1"/>
  <c r="BN5" i="8"/>
  <c r="BH25" i="8"/>
  <c r="BI25" i="8" s="1"/>
  <c r="BH24" i="8"/>
  <c r="BI24" i="8" s="1"/>
  <c r="BN24" i="8"/>
  <c r="AW4" i="8"/>
  <c r="AW9" i="8"/>
  <c r="E10" i="2" l="1"/>
  <c r="E2" i="2"/>
  <c r="B5" i="2" s="1"/>
  <c r="I31" i="8"/>
  <c r="I32" i="8" s="1"/>
  <c r="I33" i="8" s="1"/>
  <c r="I34" i="8" s="1"/>
  <c r="I35" i="8" s="1"/>
  <c r="I36" i="8" s="1"/>
  <c r="I37" i="8" s="1"/>
  <c r="I38" i="8" s="1"/>
  <c r="I39" i="8" s="1"/>
  <c r="I40" i="8" s="1"/>
  <c r="AI22" i="8"/>
  <c r="AI23" i="8" s="1"/>
  <c r="AI24" i="8" s="1"/>
  <c r="AI25" i="8" s="1"/>
  <c r="AI26" i="8" s="1"/>
  <c r="AI27" i="8" s="1"/>
  <c r="AI28" i="8" s="1"/>
  <c r="AI29" i="8" s="1"/>
  <c r="AI30" i="8" s="1"/>
  <c r="AI31" i="8" s="1"/>
  <c r="AI32" i="8" s="1"/>
  <c r="AI33" i="8" s="1"/>
  <c r="AI34" i="8" s="1"/>
  <c r="AI35" i="8" s="1"/>
  <c r="AE20" i="8"/>
  <c r="AE21" i="8" s="1"/>
  <c r="AE22" i="8" s="1"/>
  <c r="AE23" i="8" s="1"/>
  <c r="AE24" i="8" s="1"/>
  <c r="AE25" i="8" s="1"/>
  <c r="BH21" i="8"/>
  <c r="BI21" i="8" s="1"/>
  <c r="BJ21" i="8" s="1"/>
  <c r="BN40" i="8"/>
  <c r="BN4" i="8"/>
  <c r="AF3" i="8"/>
  <c r="AG3" i="8" s="1"/>
  <c r="BN15" i="8"/>
  <c r="BN23" i="8"/>
  <c r="AA3" i="8"/>
  <c r="J3" i="8"/>
  <c r="AL4" i="8"/>
  <c r="AN4" i="8" s="1"/>
  <c r="AJ4" i="8"/>
  <c r="AF4" i="8"/>
  <c r="AN5" i="8"/>
  <c r="AF5" i="8"/>
  <c r="AR4" i="8"/>
  <c r="V3" i="8"/>
  <c r="W3" i="8" s="1"/>
  <c r="AP3" i="8"/>
  <c r="V4" i="8"/>
  <c r="Z4" i="8"/>
  <c r="AZ38" i="8"/>
  <c r="BD38" i="8" s="1"/>
  <c r="BH8" i="8"/>
  <c r="BI8" i="8" s="1"/>
  <c r="BM8" i="8" s="1"/>
  <c r="AJ5" i="8"/>
  <c r="BH22" i="8"/>
  <c r="BI22" i="8" s="1"/>
  <c r="BM22" i="8" s="1"/>
  <c r="AZ4" i="8"/>
  <c r="BF4" i="8" s="1"/>
  <c r="BN13" i="8"/>
  <c r="BN30" i="8"/>
  <c r="BH14" i="8"/>
  <c r="BI14" i="8" s="1"/>
  <c r="BM14" i="8" s="1"/>
  <c r="AZ26" i="8"/>
  <c r="BG26" i="8" s="1"/>
  <c r="AZ11" i="8"/>
  <c r="BF11" i="8" s="1"/>
  <c r="AZ34" i="8"/>
  <c r="BG34" i="8" s="1"/>
  <c r="AZ25" i="8"/>
  <c r="BE25" i="8" s="1"/>
  <c r="AW14" i="8"/>
  <c r="AJ3" i="8"/>
  <c r="AK3" i="8" s="1"/>
  <c r="AW11" i="8"/>
  <c r="AW3" i="8"/>
  <c r="AW5" i="8"/>
  <c r="AW13" i="8"/>
  <c r="AW8" i="8"/>
  <c r="BB15" i="8"/>
  <c r="AZ33" i="8"/>
  <c r="BF33" i="8" s="1"/>
  <c r="AZ3" i="8"/>
  <c r="BG3" i="8" s="1"/>
  <c r="AZ40" i="8"/>
  <c r="BD40" i="8" s="1"/>
  <c r="BB5" i="8"/>
  <c r="BM13" i="8"/>
  <c r="AZ30" i="8"/>
  <c r="BE30" i="8" s="1"/>
  <c r="BB27" i="8"/>
  <c r="AZ35" i="8"/>
  <c r="BG35" i="8" s="1"/>
  <c r="AZ29" i="8"/>
  <c r="BD29" i="8" s="1"/>
  <c r="BB8" i="8"/>
  <c r="AZ23" i="8"/>
  <c r="BG23" i="8" s="1"/>
  <c r="BB14" i="8"/>
  <c r="AZ14" i="8"/>
  <c r="BD14" i="8" s="1"/>
  <c r="AZ32" i="8"/>
  <c r="BD32" i="8" s="1"/>
  <c r="AZ13" i="8"/>
  <c r="BG13" i="8" s="1"/>
  <c r="BB13" i="8"/>
  <c r="BC41" i="8"/>
  <c r="BB7" i="8"/>
  <c r="AZ21" i="8"/>
  <c r="BD21" i="8" s="1"/>
  <c r="AZ9" i="8"/>
  <c r="BE9" i="8" s="1"/>
  <c r="AZ28" i="8"/>
  <c r="BD28" i="8" s="1"/>
  <c r="AW7" i="8"/>
  <c r="BB30" i="8"/>
  <c r="BK4" i="8"/>
  <c r="BJ4" i="8"/>
  <c r="BM28" i="8"/>
  <c r="BJ28" i="8"/>
  <c r="BL28" i="8"/>
  <c r="AZ18" i="8"/>
  <c r="BE18" i="8" s="1"/>
  <c r="BB28" i="8"/>
  <c r="BB19" i="8"/>
  <c r="BB24" i="8"/>
  <c r="BB29" i="8"/>
  <c r="AZ19" i="8"/>
  <c r="BF19" i="8" s="1"/>
  <c r="BB32" i="8"/>
  <c r="AZ5" i="8"/>
  <c r="BK13" i="8"/>
  <c r="BB35" i="8"/>
  <c r="BB21" i="8"/>
  <c r="BB33" i="8"/>
  <c r="BM26" i="8"/>
  <c r="BL26" i="8"/>
  <c r="BL25" i="8"/>
  <c r="BJ25" i="8"/>
  <c r="BM19" i="8"/>
  <c r="BL19" i="8"/>
  <c r="BK19" i="8"/>
  <c r="BL35" i="8"/>
  <c r="BM35" i="8"/>
  <c r="BM23" i="8"/>
  <c r="BK23" i="8"/>
  <c r="BL23" i="8"/>
  <c r="BJ23" i="8"/>
  <c r="BK38" i="8"/>
  <c r="BJ38" i="8"/>
  <c r="BL38" i="8"/>
  <c r="AZ7" i="8"/>
  <c r="BD7" i="8" s="1"/>
  <c r="AY41" i="8"/>
  <c r="BK28" i="8"/>
  <c r="AZ22" i="8"/>
  <c r="BF22" i="8" s="1"/>
  <c r="AZ20" i="8"/>
  <c r="BG20" i="8" s="1"/>
  <c r="BM4" i="8"/>
  <c r="BM32" i="8"/>
  <c r="BJ32" i="8"/>
  <c r="BK32" i="8"/>
  <c r="BL32" i="8"/>
  <c r="BM5" i="8"/>
  <c r="BK5" i="8"/>
  <c r="BL5" i="8"/>
  <c r="BJ5" i="8"/>
  <c r="BM11" i="8"/>
  <c r="BL11" i="8"/>
  <c r="BK11" i="8"/>
  <c r="BJ11" i="8"/>
  <c r="BK18" i="8"/>
  <c r="BL18" i="8"/>
  <c r="BJ18" i="8"/>
  <c r="BM18" i="8"/>
  <c r="BL27" i="8"/>
  <c r="BM27" i="8"/>
  <c r="BJ27" i="8"/>
  <c r="BK27" i="8"/>
  <c r="BJ33" i="8"/>
  <c r="BL33" i="8"/>
  <c r="BM33" i="8"/>
  <c r="BK33" i="8"/>
  <c r="BK24" i="8"/>
  <c r="BM24" i="8"/>
  <c r="BJ24" i="8"/>
  <c r="BL24" i="8"/>
  <c r="BM20" i="8"/>
  <c r="BL20" i="8"/>
  <c r="BJ20" i="8"/>
  <c r="BK20" i="8"/>
  <c r="BK7" i="8"/>
  <c r="BM7" i="8"/>
  <c r="BL7" i="8"/>
  <c r="BJ7" i="8"/>
  <c r="BM34" i="8"/>
  <c r="BK34" i="8"/>
  <c r="BJ34" i="8"/>
  <c r="BL34" i="8"/>
  <c r="BL9" i="8"/>
  <c r="BM9" i="8"/>
  <c r="BJ9" i="8"/>
  <c r="BK9" i="8"/>
  <c r="BM40" i="8"/>
  <c r="BK40" i="8"/>
  <c r="BJ40" i="8"/>
  <c r="BL40" i="8"/>
  <c r="BL15" i="8"/>
  <c r="BK15" i="8"/>
  <c r="BJ15" i="8"/>
  <c r="BM15" i="8"/>
  <c r="BJ30" i="8"/>
  <c r="BM30" i="8"/>
  <c r="BK30" i="8"/>
  <c r="BL30" i="8"/>
  <c r="BJ29" i="8"/>
  <c r="BK29" i="8"/>
  <c r="BL29" i="8"/>
  <c r="BM29" i="8"/>
  <c r="BJ16" i="8"/>
  <c r="BM16" i="8"/>
  <c r="BK16" i="8"/>
  <c r="BL16" i="8"/>
  <c r="BJ13" i="8"/>
  <c r="BK25" i="8"/>
  <c r="BJ26" i="8"/>
  <c r="BJ35" i="8"/>
  <c r="BJ19" i="8"/>
  <c r="BL4" i="8"/>
  <c r="BM25" i="8"/>
  <c r="BJ3" i="8"/>
  <c r="BM3" i="8"/>
  <c r="BK26" i="8"/>
  <c r="AX41" i="8"/>
  <c r="BK35" i="8"/>
  <c r="BL3" i="8"/>
  <c r="BM38" i="8"/>
  <c r="AI36" i="8" l="1"/>
  <c r="AI37" i="8" s="1"/>
  <c r="AI38" i="8" s="1"/>
  <c r="AI39" i="8" s="1"/>
  <c r="AI40" i="8" s="1"/>
  <c r="Q4" i="8"/>
  <c r="R4" i="8" s="1"/>
  <c r="R5" i="8" s="1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J4" i="8"/>
  <c r="J5" i="8" s="1"/>
  <c r="AK4" i="8"/>
  <c r="AK5" i="8" s="1"/>
  <c r="AK6" i="8" s="1"/>
  <c r="AK7" i="8" s="1"/>
  <c r="AK8" i="8" s="1"/>
  <c r="AK9" i="8" s="1"/>
  <c r="AK10" i="8" s="1"/>
  <c r="AK11" i="8" s="1"/>
  <c r="AK12" i="8" s="1"/>
  <c r="AK13" i="8" s="1"/>
  <c r="AK14" i="8" s="1"/>
  <c r="AK15" i="8" s="1"/>
  <c r="AK16" i="8" s="1"/>
  <c r="AK17" i="8" s="1"/>
  <c r="AK18" i="8" s="1"/>
  <c r="AK19" i="8" s="1"/>
  <c r="AK20" i="8" s="1"/>
  <c r="AK21" i="8" s="1"/>
  <c r="AK22" i="8" s="1"/>
  <c r="AK23" i="8" s="1"/>
  <c r="AK24" i="8" s="1"/>
  <c r="AK25" i="8" s="1"/>
  <c r="AK26" i="8" s="1"/>
  <c r="AK27" i="8" s="1"/>
  <c r="AK28" i="8" s="1"/>
  <c r="AK29" i="8" s="1"/>
  <c r="AK30" i="8" s="1"/>
  <c r="AK31" i="8" s="1"/>
  <c r="AK32" i="8" s="1"/>
  <c r="AK33" i="8" s="1"/>
  <c r="AK34" i="8" s="1"/>
  <c r="AK35" i="8" s="1"/>
  <c r="P4" i="8"/>
  <c r="AZ8" i="8"/>
  <c r="BG8" i="8" s="1"/>
  <c r="K3" i="8"/>
  <c r="L3" i="8" s="1"/>
  <c r="L4" i="8" s="1"/>
  <c r="L5" i="8" s="1"/>
  <c r="BK21" i="8"/>
  <c r="AG4" i="8"/>
  <c r="AG5" i="8" s="1"/>
  <c r="AG6" i="8" s="1"/>
  <c r="AG7" i="8" s="1"/>
  <c r="AG8" i="8" s="1"/>
  <c r="AG9" i="8" s="1"/>
  <c r="AG10" i="8" s="1"/>
  <c r="AG11" i="8" s="1"/>
  <c r="AG12" i="8" s="1"/>
  <c r="AG13" i="8" s="1"/>
  <c r="AG14" i="8" s="1"/>
  <c r="AG15" i="8" s="1"/>
  <c r="AG16" i="8" s="1"/>
  <c r="AG17" i="8" s="1"/>
  <c r="AG18" i="8" s="1"/>
  <c r="AG19" i="8" s="1"/>
  <c r="AG20" i="8" s="1"/>
  <c r="AG21" i="8" s="1"/>
  <c r="AZ15" i="8"/>
  <c r="BF15" i="8" s="1"/>
  <c r="BL21" i="8"/>
  <c r="BM21" i="8"/>
  <c r="BM41" i="8" s="1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X3" i="8"/>
  <c r="Y3" i="8" s="1"/>
  <c r="AQ3" i="8"/>
  <c r="AQ4" i="8" s="1"/>
  <c r="AQ5" i="8" s="1"/>
  <c r="AQ6" i="8" s="1"/>
  <c r="AQ7" i="8" s="1"/>
  <c r="AQ8" i="8" s="1"/>
  <c r="AQ9" i="8" s="1"/>
  <c r="AQ10" i="8" s="1"/>
  <c r="AQ11" i="8" s="1"/>
  <c r="AQ12" i="8" s="1"/>
  <c r="AQ13" i="8" s="1"/>
  <c r="AQ14" i="8" s="1"/>
  <c r="AQ15" i="8" s="1"/>
  <c r="AQ16" i="8" s="1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R3" i="8"/>
  <c r="AS3" i="8" s="1"/>
  <c r="AS4" i="8" s="1"/>
  <c r="AS5" i="8" s="1"/>
  <c r="AS6" i="8" s="1"/>
  <c r="AS7" i="8" s="1"/>
  <c r="AS8" i="8" s="1"/>
  <c r="AS9" i="8" s="1"/>
  <c r="AS10" i="8" s="1"/>
  <c r="AS11" i="8" s="1"/>
  <c r="AS12" i="8" s="1"/>
  <c r="AS13" i="8" s="1"/>
  <c r="AS14" i="8" s="1"/>
  <c r="AS15" i="8" s="1"/>
  <c r="AS16" i="8" s="1"/>
  <c r="AS17" i="8" s="1"/>
  <c r="AS18" i="8" s="1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0" i="8" s="1"/>
  <c r="AS31" i="8" s="1"/>
  <c r="AS32" i="8" s="1"/>
  <c r="AS33" i="8" s="1"/>
  <c r="AS34" i="8" s="1"/>
  <c r="AS35" i="8" s="1"/>
  <c r="BL14" i="8"/>
  <c r="BF38" i="8"/>
  <c r="BE38" i="8"/>
  <c r="BJ8" i="8"/>
  <c r="AA4" i="8"/>
  <c r="AA5" i="8" s="1"/>
  <c r="AA6" i="8" s="1"/>
  <c r="AA7" i="8" s="1"/>
  <c r="AA8" i="8" s="1"/>
  <c r="AA9" i="8" s="1"/>
  <c r="X4" i="8"/>
  <c r="BG38" i="8"/>
  <c r="AZ27" i="8"/>
  <c r="BE27" i="8" s="1"/>
  <c r="AZ16" i="8"/>
  <c r="BD16" i="8" s="1"/>
  <c r="BI41" i="8"/>
  <c r="BJ22" i="8"/>
  <c r="BL8" i="8"/>
  <c r="BK22" i="8"/>
  <c r="BK8" i="8"/>
  <c r="BL22" i="8"/>
  <c r="BG4" i="8"/>
  <c r="BE4" i="8"/>
  <c r="BD4" i="8"/>
  <c r="AZ24" i="8"/>
  <c r="AE26" i="8"/>
  <c r="AE27" i="8" s="1"/>
  <c r="AE28" i="8" s="1"/>
  <c r="AE29" i="8" s="1"/>
  <c r="AE30" i="8" s="1"/>
  <c r="AE31" i="8" s="1"/>
  <c r="AE32" i="8" s="1"/>
  <c r="AE33" i="8" s="1"/>
  <c r="AE34" i="8" s="1"/>
  <c r="AE35" i="8" s="1"/>
  <c r="BD25" i="8"/>
  <c r="BJ14" i="8"/>
  <c r="BK14" i="8"/>
  <c r="BD9" i="8"/>
  <c r="BD26" i="8"/>
  <c r="BF26" i="8"/>
  <c r="BE26" i="8"/>
  <c r="BE11" i="8"/>
  <c r="BF30" i="8"/>
  <c r="BF25" i="8"/>
  <c r="BG25" i="8"/>
  <c r="BF34" i="8"/>
  <c r="BD34" i="8"/>
  <c r="BE34" i="8"/>
  <c r="BG11" i="8"/>
  <c r="BD11" i="8"/>
  <c r="BD30" i="8"/>
  <c r="AW23" i="8"/>
  <c r="AW24" i="8"/>
  <c r="AW25" i="8"/>
  <c r="AW35" i="8"/>
  <c r="AW20" i="8"/>
  <c r="AW29" i="8"/>
  <c r="AW21" i="8"/>
  <c r="AW32" i="8"/>
  <c r="AW34" i="8"/>
  <c r="AW27" i="8"/>
  <c r="AW26" i="8"/>
  <c r="AW28" i="8"/>
  <c r="AW40" i="8"/>
  <c r="AW22" i="8"/>
  <c r="AW30" i="8"/>
  <c r="AW33" i="8"/>
  <c r="AW38" i="8"/>
  <c r="AW19" i="8"/>
  <c r="AW16" i="8"/>
  <c r="AW18" i="8"/>
  <c r="AW15" i="8"/>
  <c r="BD3" i="8"/>
  <c r="BF7" i="8"/>
  <c r="BG40" i="8"/>
  <c r="BG30" i="8"/>
  <c r="BE29" i="8"/>
  <c r="BG29" i="8"/>
  <c r="BF40" i="8"/>
  <c r="BE19" i="8"/>
  <c r="BF13" i="8"/>
  <c r="BG19" i="8"/>
  <c r="BD19" i="8"/>
  <c r="BD33" i="8"/>
  <c r="BG28" i="8"/>
  <c r="BG18" i="8"/>
  <c r="BF18" i="8"/>
  <c r="BE33" i="8"/>
  <c r="BD35" i="8"/>
  <c r="BE3" i="8"/>
  <c r="BF14" i="8"/>
  <c r="BF29" i="8"/>
  <c r="BG33" i="8"/>
  <c r="BG9" i="8"/>
  <c r="BF9" i="8"/>
  <c r="BF3" i="8"/>
  <c r="BF35" i="8"/>
  <c r="BE35" i="8"/>
  <c r="BG14" i="8"/>
  <c r="BD13" i="8"/>
  <c r="BE40" i="8"/>
  <c r="BE23" i="8"/>
  <c r="BD23" i="8"/>
  <c r="BE32" i="8"/>
  <c r="BF28" i="8"/>
  <c r="BF23" i="8"/>
  <c r="BG32" i="8"/>
  <c r="BF32" i="8"/>
  <c r="BE28" i="8"/>
  <c r="BE14" i="8"/>
  <c r="BE13" i="8"/>
  <c r="BF21" i="8"/>
  <c r="BG21" i="8"/>
  <c r="BE21" i="8"/>
  <c r="BG5" i="8"/>
  <c r="BE5" i="8"/>
  <c r="BF5" i="8"/>
  <c r="BD5" i="8"/>
  <c r="BD18" i="8"/>
  <c r="BE20" i="8"/>
  <c r="BD20" i="8"/>
  <c r="BF20" i="8"/>
  <c r="BG7" i="8"/>
  <c r="BE7" i="8"/>
  <c r="BE22" i="8"/>
  <c r="BD22" i="8"/>
  <c r="BG22" i="8"/>
  <c r="W36" i="8" l="1"/>
  <c r="W37" i="8" s="1"/>
  <c r="W38" i="8" s="1"/>
  <c r="W39" i="8" s="1"/>
  <c r="W40" i="8" s="1"/>
  <c r="AE36" i="8"/>
  <c r="AE37" i="8" s="1"/>
  <c r="AE38" i="8" s="1"/>
  <c r="AE39" i="8" s="1"/>
  <c r="AE40" i="8" s="1"/>
  <c r="AK36" i="8"/>
  <c r="AK37" i="8" s="1"/>
  <c r="AK38" i="8" s="1"/>
  <c r="AK39" i="8" s="1"/>
  <c r="AK40" i="8" s="1"/>
  <c r="R33" i="8"/>
  <c r="R34" i="8" s="1"/>
  <c r="R35" i="8" s="1"/>
  <c r="R36" i="8" s="1"/>
  <c r="R37" i="8" s="1"/>
  <c r="R38" i="8" s="1"/>
  <c r="R39" i="8" s="1"/>
  <c r="R40" i="8" s="1"/>
  <c r="AQ36" i="8"/>
  <c r="AQ37" i="8" s="1"/>
  <c r="AQ38" i="8" s="1"/>
  <c r="AQ39" i="8" s="1"/>
  <c r="AQ40" i="8" s="1"/>
  <c r="AS36" i="8"/>
  <c r="AS37" i="8" s="1"/>
  <c r="AS38" i="8" s="1"/>
  <c r="AS39" i="8" s="1"/>
  <c r="AS40" i="8" s="1"/>
  <c r="L6" i="8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J6" i="8"/>
  <c r="AA10" i="8"/>
  <c r="AA11" i="8" s="1"/>
  <c r="AA12" i="8" s="1"/>
  <c r="AA13" i="8" s="1"/>
  <c r="AA14" i="8" s="1"/>
  <c r="AA15" i="8" s="1"/>
  <c r="AA16" i="8" s="1"/>
  <c r="AA17" i="8" s="1"/>
  <c r="AA18" i="8" s="1"/>
  <c r="AA19" i="8" s="1"/>
  <c r="AA20" i="8" s="1"/>
  <c r="AA21" i="8" s="1"/>
  <c r="AA22" i="8" s="1"/>
  <c r="AA23" i="8" s="1"/>
  <c r="AA24" i="8" s="1"/>
  <c r="AA25" i="8" s="1"/>
  <c r="AA26" i="8" s="1"/>
  <c r="AA27" i="8" s="1"/>
  <c r="AA28" i="8" s="1"/>
  <c r="AA29" i="8" s="1"/>
  <c r="AG22" i="8"/>
  <c r="AG23" i="8" s="1"/>
  <c r="AG24" i="8" s="1"/>
  <c r="AG25" i="8" s="1"/>
  <c r="BE8" i="8"/>
  <c r="BD8" i="8"/>
  <c r="P5" i="8"/>
  <c r="P6" i="8" s="1"/>
  <c r="BF8" i="8"/>
  <c r="AL3" i="8"/>
  <c r="AN3" i="8" s="1"/>
  <c r="M3" i="8"/>
  <c r="M4" i="8" s="1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M25" i="8" s="1"/>
  <c r="M26" i="8" s="1"/>
  <c r="M27" i="8" s="1"/>
  <c r="M28" i="8" s="1"/>
  <c r="M29" i="8" s="1"/>
  <c r="M30" i="8" s="1"/>
  <c r="M31" i="8" s="1"/>
  <c r="M32" i="8" s="1"/>
  <c r="M33" i="8" s="1"/>
  <c r="M34" i="8" s="1"/>
  <c r="M35" i="8" s="1"/>
  <c r="M36" i="8" s="1"/>
  <c r="BD15" i="8"/>
  <c r="BE15" i="8"/>
  <c r="BG15" i="8"/>
  <c r="Y4" i="8"/>
  <c r="Y5" i="8" s="1"/>
  <c r="Y6" i="8" s="1"/>
  <c r="Y7" i="8" s="1"/>
  <c r="Y8" i="8" s="1"/>
  <c r="Y9" i="8" s="1"/>
  <c r="Y10" i="8" s="1"/>
  <c r="Y11" i="8" s="1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BG27" i="8"/>
  <c r="BE16" i="8"/>
  <c r="BD27" i="8"/>
  <c r="BF27" i="8"/>
  <c r="BG16" i="8"/>
  <c r="BF16" i="8"/>
  <c r="BK41" i="8"/>
  <c r="BL41" i="8"/>
  <c r="BJ41" i="8"/>
  <c r="BF24" i="8"/>
  <c r="BG24" i="8"/>
  <c r="BD24" i="8"/>
  <c r="BE24" i="8"/>
  <c r="AW41" i="8"/>
  <c r="AA30" i="8" l="1"/>
  <c r="AA31" i="8" s="1"/>
  <c r="AA32" i="8" s="1"/>
  <c r="AA33" i="8" s="1"/>
  <c r="AA34" i="8" s="1"/>
  <c r="AA35" i="8" s="1"/>
  <c r="AA36" i="8" s="1"/>
  <c r="AA37" i="8" s="1"/>
  <c r="AA38" i="8" s="1"/>
  <c r="AA39" i="8" s="1"/>
  <c r="AA40" i="8" s="1"/>
  <c r="M37" i="8"/>
  <c r="M38" i="8" s="1"/>
  <c r="M39" i="8" s="1"/>
  <c r="M40" i="8" s="1"/>
  <c r="L31" i="8"/>
  <c r="L32" i="8" s="1"/>
  <c r="L33" i="8" s="1"/>
  <c r="L34" i="8" s="1"/>
  <c r="L35" i="8" s="1"/>
  <c r="L36" i="8" s="1"/>
  <c r="L37" i="8" s="1"/>
  <c r="L38" i="8" s="1"/>
  <c r="L39" i="8" s="1"/>
  <c r="L40" i="8" s="1"/>
  <c r="C43" i="8" s="1"/>
  <c r="Y36" i="8"/>
  <c r="Y37" i="8" s="1"/>
  <c r="Y38" i="8" s="1"/>
  <c r="Y39" i="8" s="1"/>
  <c r="Y40" i="8" s="1"/>
  <c r="P7" i="8"/>
  <c r="J7" i="8"/>
  <c r="AM3" i="8"/>
  <c r="AM4" i="8" s="1"/>
  <c r="AM5" i="8" s="1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M16" i="8" s="1"/>
  <c r="AM17" i="8" s="1"/>
  <c r="AM18" i="8" s="1"/>
  <c r="AM19" i="8" s="1"/>
  <c r="AM20" i="8" s="1"/>
  <c r="AM21" i="8" s="1"/>
  <c r="BE41" i="8"/>
  <c r="AO3" i="8"/>
  <c r="AO4" i="8" s="1"/>
  <c r="AO5" i="8" s="1"/>
  <c r="AO6" i="8" s="1"/>
  <c r="AO7" i="8" s="1"/>
  <c r="AO8" i="8" s="1"/>
  <c r="AO9" i="8" s="1"/>
  <c r="AO10" i="8" s="1"/>
  <c r="AO11" i="8" s="1"/>
  <c r="AO12" i="8" s="1"/>
  <c r="AO13" i="8" s="1"/>
  <c r="AO14" i="8" s="1"/>
  <c r="AO15" i="8" s="1"/>
  <c r="AO16" i="8" s="1"/>
  <c r="AO17" i="8" s="1"/>
  <c r="AO18" i="8" s="1"/>
  <c r="AO19" i="8" s="1"/>
  <c r="AO20" i="8" s="1"/>
  <c r="AO21" i="8" s="1"/>
  <c r="AO22" i="8" s="1"/>
  <c r="AO23" i="8" s="1"/>
  <c r="AO24" i="8" s="1"/>
  <c r="AO25" i="8" s="1"/>
  <c r="AO26" i="8" s="1"/>
  <c r="AO27" i="8" s="1"/>
  <c r="AO28" i="8" s="1"/>
  <c r="AO29" i="8" s="1"/>
  <c r="AO30" i="8" s="1"/>
  <c r="AO31" i="8" s="1"/>
  <c r="AO32" i="8" s="1"/>
  <c r="AO33" i="8" s="1"/>
  <c r="AO34" i="8" s="1"/>
  <c r="AO35" i="8" s="1"/>
  <c r="BD41" i="8"/>
  <c r="BG41" i="8"/>
  <c r="BF41" i="8"/>
  <c r="AG26" i="8"/>
  <c r="AG27" i="8" s="1"/>
  <c r="AG28" i="8" s="1"/>
  <c r="AG29" i="8" s="1"/>
  <c r="AG30" i="8" s="1"/>
  <c r="AG31" i="8" s="1"/>
  <c r="AG32" i="8" s="1"/>
  <c r="AG33" i="8" s="1"/>
  <c r="AG34" i="8" s="1"/>
  <c r="AG35" i="8" s="1"/>
  <c r="C44" i="8" l="1"/>
  <c r="AO36" i="8"/>
  <c r="AO37" i="8" s="1"/>
  <c r="AO38" i="8" s="1"/>
  <c r="AO39" i="8" s="1"/>
  <c r="AO40" i="8" s="1"/>
  <c r="AG36" i="8"/>
  <c r="AG37" i="8" s="1"/>
  <c r="AG38" i="8" s="1"/>
  <c r="AG39" i="8" s="1"/>
  <c r="AG40" i="8" s="1"/>
  <c r="C45" i="8" s="1"/>
  <c r="J8" i="8"/>
  <c r="P8" i="8"/>
  <c r="AM22" i="8"/>
  <c r="AM23" i="8" s="1"/>
  <c r="AM24" i="8" s="1"/>
  <c r="AM25" i="8" s="1"/>
  <c r="AM26" i="8" s="1"/>
  <c r="AM27" i="8" s="1"/>
  <c r="AM28" i="8" s="1"/>
  <c r="AM29" i="8" s="1"/>
  <c r="AM30" i="8" s="1"/>
  <c r="AM31" i="8" s="1"/>
  <c r="AM32" i="8" s="1"/>
  <c r="AM33" i="8" s="1"/>
  <c r="AM34" i="8" s="1"/>
  <c r="AM35" i="8" s="1"/>
  <c r="AM36" i="8" l="1"/>
  <c r="AM37" i="8" s="1"/>
  <c r="AM38" i="8" s="1"/>
  <c r="AM39" i="8" s="1"/>
  <c r="AM40" i="8" s="1"/>
  <c r="J9" i="8"/>
  <c r="P9" i="8"/>
  <c r="P10" i="8" l="1"/>
  <c r="J10" i="8"/>
  <c r="J11" i="8" l="1"/>
  <c r="J12" i="8" s="1"/>
  <c r="P11" i="8"/>
  <c r="P12" i="8" l="1"/>
  <c r="P13" i="8"/>
  <c r="J13" i="8"/>
  <c r="J14" i="8" l="1"/>
  <c r="P14" i="8"/>
  <c r="J15" i="8" l="1"/>
  <c r="P15" i="8"/>
  <c r="P16" i="8" l="1"/>
  <c r="J16" i="8"/>
  <c r="J17" i="8" l="1"/>
  <c r="P17" i="8"/>
  <c r="J18" i="8" l="1"/>
  <c r="P18" i="8"/>
  <c r="J19" i="8" l="1"/>
  <c r="J20" i="8" s="1"/>
  <c r="P19" i="8"/>
  <c r="P20" i="8" l="1"/>
  <c r="J21" i="8"/>
  <c r="P21" i="8"/>
  <c r="P22" i="8" l="1"/>
  <c r="J22" i="8"/>
  <c r="J23" i="8" l="1"/>
  <c r="P23" i="8"/>
  <c r="J24" i="8" l="1"/>
  <c r="P24" i="8"/>
  <c r="J25" i="8" l="1"/>
  <c r="P25" i="8"/>
  <c r="J26" i="8" l="1"/>
  <c r="P26" i="8"/>
  <c r="J27" i="8" l="1"/>
  <c r="P28" i="8" s="1"/>
  <c r="P27" i="8"/>
  <c r="J28" i="8" l="1"/>
  <c r="P29" i="8" s="1"/>
  <c r="J29" i="8" l="1"/>
  <c r="P30" i="8" s="1"/>
  <c r="J30" i="8" l="1"/>
  <c r="P31" i="8" s="1"/>
  <c r="J31" i="8" l="1"/>
  <c r="J32" i="8" l="1"/>
  <c r="P32" i="8"/>
  <c r="J33" i="8" l="1"/>
  <c r="P33" i="8"/>
  <c r="P34" i="8" l="1"/>
  <c r="J34" i="8"/>
  <c r="J35" i="8" l="1"/>
  <c r="P35" i="8"/>
  <c r="P36" i="8" l="1"/>
  <c r="J36" i="8"/>
  <c r="P37" i="8" l="1"/>
  <c r="J37" i="8"/>
  <c r="J38" i="8" l="1"/>
  <c r="P38" i="8"/>
  <c r="J39" i="8" l="1"/>
  <c r="P39" i="8"/>
  <c r="J40" i="8" l="1"/>
  <c r="P40" i="8"/>
</calcChain>
</file>

<file path=xl/sharedStrings.xml><?xml version="1.0" encoding="utf-8"?>
<sst xmlns="http://schemas.openxmlformats.org/spreadsheetml/2006/main" count="1157" uniqueCount="477">
  <si>
    <t>Cs-137</t>
  </si>
  <si>
    <t>Cf-252</t>
  </si>
  <si>
    <t>Co-60</t>
  </si>
  <si>
    <t>Am-241</t>
  </si>
  <si>
    <t>Dni</t>
  </si>
  <si>
    <t>Lat</t>
  </si>
  <si>
    <t>Dziś</t>
  </si>
  <si>
    <t>H-3</t>
  </si>
  <si>
    <t>Be-7</t>
  </si>
  <si>
    <t>C-14</t>
  </si>
  <si>
    <t>F-18</t>
  </si>
  <si>
    <t>Na-22</t>
  </si>
  <si>
    <t>Na-24</t>
  </si>
  <si>
    <t>Si-31</t>
  </si>
  <si>
    <t>P-32</t>
  </si>
  <si>
    <t>P-33</t>
  </si>
  <si>
    <t>S-35</t>
  </si>
  <si>
    <t>Ar-37</t>
  </si>
  <si>
    <t>Ar-41</t>
  </si>
  <si>
    <t>K-40</t>
  </si>
  <si>
    <t>K-43</t>
  </si>
  <si>
    <t>Ca-45</t>
  </si>
  <si>
    <t>Ca-47</t>
  </si>
  <si>
    <t>Sc-46</t>
  </si>
  <si>
    <t>Sc-47</t>
  </si>
  <si>
    <t>Sc-48</t>
  </si>
  <si>
    <t>V-48</t>
  </si>
  <si>
    <t>Cr-51</t>
  </si>
  <si>
    <t>Mn-52</t>
  </si>
  <si>
    <t>Mn-53</t>
  </si>
  <si>
    <t>Mn-54</t>
  </si>
  <si>
    <t>Mn-56</t>
  </si>
  <si>
    <t>Fe-52</t>
  </si>
  <si>
    <t>Fe-55</t>
  </si>
  <si>
    <t>Fe-59</t>
  </si>
  <si>
    <t>Co-55</t>
  </si>
  <si>
    <t>Co-56</t>
  </si>
  <si>
    <t>Co-57</t>
  </si>
  <si>
    <t>Co-58</t>
  </si>
  <si>
    <t>Co-58m</t>
  </si>
  <si>
    <t>Ni-59</t>
  </si>
  <si>
    <t>Ni-63</t>
  </si>
  <si>
    <t>Ni-65</t>
  </si>
  <si>
    <t>Cu-64</t>
  </si>
  <si>
    <t>Zn-65</t>
  </si>
  <si>
    <t>Zn-69</t>
  </si>
  <si>
    <t>Zn-69m</t>
  </si>
  <si>
    <t>Ga-72</t>
  </si>
  <si>
    <t>Ge-71</t>
  </si>
  <si>
    <t>As-73</t>
  </si>
  <si>
    <t>As-74</t>
  </si>
  <si>
    <t>As-76</t>
  </si>
  <si>
    <t>As-77</t>
  </si>
  <si>
    <t>Se-75</t>
  </si>
  <si>
    <t>Br-82</t>
  </si>
  <si>
    <t>Kr-81</t>
  </si>
  <si>
    <t>Kr-85</t>
  </si>
  <si>
    <t>Kr-85m</t>
  </si>
  <si>
    <t>Kr-87</t>
  </si>
  <si>
    <t>Rb-86</t>
  </si>
  <si>
    <t>Sr-85</t>
  </si>
  <si>
    <t>Sr-85m</t>
  </si>
  <si>
    <t>Sr-87m</t>
  </si>
  <si>
    <t>Sr-89</t>
  </si>
  <si>
    <t>Sr-91</t>
  </si>
  <si>
    <t>Sr-92</t>
  </si>
  <si>
    <t>Y-90</t>
  </si>
  <si>
    <t>Y-91</t>
  </si>
  <si>
    <t>Y-91m</t>
  </si>
  <si>
    <t>Y-92</t>
  </si>
  <si>
    <t>Y-93</t>
  </si>
  <si>
    <t>Zr-95</t>
  </si>
  <si>
    <t>Nb-93m</t>
  </si>
  <si>
    <t>Nb-94</t>
  </si>
  <si>
    <t>Nb-95</t>
  </si>
  <si>
    <t>Nb-97</t>
  </si>
  <si>
    <t>Mo-93</t>
  </si>
  <si>
    <t>Mo-99</t>
  </si>
  <si>
    <t>Tc-96</t>
  </si>
  <si>
    <t>Tc-96m</t>
  </si>
  <si>
    <t>Tc-97</t>
  </si>
  <si>
    <t>Tc-97m</t>
  </si>
  <si>
    <t>Tc-99</t>
  </si>
  <si>
    <t>Tc-99m</t>
  </si>
  <si>
    <t>Ru-97</t>
  </si>
  <si>
    <t>Ru-103</t>
  </si>
  <si>
    <t>Ru-105</t>
  </si>
  <si>
    <t>Rh-103m</t>
  </si>
  <si>
    <t>Rh-105</t>
  </si>
  <si>
    <t>Pd-103</t>
  </si>
  <si>
    <t>Pd-109</t>
  </si>
  <si>
    <t>Ag-105</t>
  </si>
  <si>
    <t>Ag-110m</t>
  </si>
  <si>
    <t>Ag-111</t>
  </si>
  <si>
    <t>Cd-109</t>
  </si>
  <si>
    <t>Cd-115</t>
  </si>
  <si>
    <t>Cd-115m</t>
  </si>
  <si>
    <t>Sn-113</t>
  </si>
  <si>
    <t>Sn-125</t>
  </si>
  <si>
    <t>Sb-122</t>
  </si>
  <si>
    <t>Sb-124</t>
  </si>
  <si>
    <t>Sb-125</t>
  </si>
  <si>
    <t>Te-123m</t>
  </si>
  <si>
    <t>Te-125m</t>
  </si>
  <si>
    <t>Te-127</t>
  </si>
  <si>
    <t>Te-127m</t>
  </si>
  <si>
    <t>Te-129</t>
  </si>
  <si>
    <t>Te-129m</t>
  </si>
  <si>
    <t>Te-131m</t>
  </si>
  <si>
    <t>Te-132</t>
  </si>
  <si>
    <t>Xe-131m</t>
  </si>
  <si>
    <t>Xe-133</t>
  </si>
  <si>
    <t>Xe-135</t>
  </si>
  <si>
    <t>Cs-129</t>
  </si>
  <si>
    <t>Cs-131</t>
  </si>
  <si>
    <t>Cs-132</t>
  </si>
  <si>
    <t>Cs-134m</t>
  </si>
  <si>
    <t>Cs-134</t>
  </si>
  <si>
    <t>Cs-135</t>
  </si>
  <si>
    <t>Cs-136</t>
  </si>
  <si>
    <t>Ba-131</t>
  </si>
  <si>
    <t>La-140</t>
  </si>
  <si>
    <t>Ce-139</t>
  </si>
  <si>
    <t>Ce-141</t>
  </si>
  <si>
    <t>Ce-143</t>
  </si>
  <si>
    <t>Pr-142</t>
  </si>
  <si>
    <t>Pr-143</t>
  </si>
  <si>
    <t>Nd-147</t>
  </si>
  <si>
    <t>Nd-149</t>
  </si>
  <si>
    <t>Pm-147</t>
  </si>
  <si>
    <t>Pm-149</t>
  </si>
  <si>
    <t>Sm-151</t>
  </si>
  <si>
    <t>Sm-153</t>
  </si>
  <si>
    <t>Eu-152</t>
  </si>
  <si>
    <t>Eu-152m</t>
  </si>
  <si>
    <t>Eu-154</t>
  </si>
  <si>
    <t>Eu-155</t>
  </si>
  <si>
    <t>Gd-153</t>
  </si>
  <si>
    <t>Gd-159</t>
  </si>
  <si>
    <t>Tb-160</t>
  </si>
  <si>
    <t>Dy-165</t>
  </si>
  <si>
    <t>Dy-166</t>
  </si>
  <si>
    <t>Ho-166</t>
  </si>
  <si>
    <t>Er-169</t>
  </si>
  <si>
    <t>Er-171</t>
  </si>
  <si>
    <t>Tm-170</t>
  </si>
  <si>
    <t>Tm-171</t>
  </si>
  <si>
    <t>Yb-175</t>
  </si>
  <si>
    <t>Lu-177</t>
  </si>
  <si>
    <t>Hf-181</t>
  </si>
  <si>
    <t>Ta-182</t>
  </si>
  <si>
    <t>W-181</t>
  </si>
  <si>
    <t>W-185</t>
  </si>
  <si>
    <t>W-187</t>
  </si>
  <si>
    <t>Re-186</t>
  </si>
  <si>
    <t>Re-188</t>
  </si>
  <si>
    <t>Os-185</t>
  </si>
  <si>
    <t>Os-191</t>
  </si>
  <si>
    <t>Os-191m</t>
  </si>
  <si>
    <t>Os-193</t>
  </si>
  <si>
    <t>Pt-191</t>
  </si>
  <si>
    <t>Pt-193m</t>
  </si>
  <si>
    <t>Pt-197</t>
  </si>
  <si>
    <t>Pt-197m</t>
  </si>
  <si>
    <t>Au-198</t>
  </si>
  <si>
    <t>Au-199</t>
  </si>
  <si>
    <t>Hg-197</t>
  </si>
  <si>
    <t>Hg-197m</t>
  </si>
  <si>
    <t>Hg-203</t>
  </si>
  <si>
    <t>Pb-203</t>
  </si>
  <si>
    <t>Bi-206</t>
  </si>
  <si>
    <t>Bi-207</t>
  </si>
  <si>
    <t>Bi-210</t>
  </si>
  <si>
    <t>Po-210</t>
  </si>
  <si>
    <t>At-211</t>
  </si>
  <si>
    <t>Ra-225</t>
  </si>
  <si>
    <t>Ac-228</t>
  </si>
  <si>
    <t>Th-227</t>
  </si>
  <si>
    <t>Th-230</t>
  </si>
  <si>
    <t>Th-231</t>
  </si>
  <si>
    <t>Pa-230</t>
  </si>
  <si>
    <t>Pa-231</t>
  </si>
  <si>
    <t>Pa-233</t>
  </si>
  <si>
    <t>U-233</t>
  </si>
  <si>
    <t>U-234</t>
  </si>
  <si>
    <t>U-236</t>
  </si>
  <si>
    <t>U-237</t>
  </si>
  <si>
    <t>Np-239</t>
  </si>
  <si>
    <t>Pu-236</t>
  </si>
  <si>
    <t>Pu-237</t>
  </si>
  <si>
    <t>Pu-238</t>
  </si>
  <si>
    <t>Pu-239</t>
  </si>
  <si>
    <t>Pu-240</t>
  </si>
  <si>
    <t>Pu-241</t>
  </si>
  <si>
    <t>Pu-242</t>
  </si>
  <si>
    <t>Pu-244</t>
  </si>
  <si>
    <t>Cm-242</t>
  </si>
  <si>
    <t>Cm-243</t>
  </si>
  <si>
    <t>Cm-244</t>
  </si>
  <si>
    <t>Cm-245</t>
  </si>
  <si>
    <t>Cm-246</t>
  </si>
  <si>
    <t>Cm-247</t>
  </si>
  <si>
    <t>Cm-248</t>
  </si>
  <si>
    <t>Bk-249</t>
  </si>
  <si>
    <t>Cf-248</t>
  </si>
  <si>
    <t>Cf-249</t>
  </si>
  <si>
    <t>Cf-250</t>
  </si>
  <si>
    <t>Cf-251</t>
  </si>
  <si>
    <t>Cf-253</t>
  </si>
  <si>
    <t>Cf-254</t>
  </si>
  <si>
    <t>Cl-36</t>
  </si>
  <si>
    <t>Cl-38</t>
  </si>
  <si>
    <t>In-111</t>
  </si>
  <si>
    <t>In-113m</t>
  </si>
  <si>
    <t>In-114m</t>
  </si>
  <si>
    <t>In-115m</t>
  </si>
  <si>
    <t>I-123</t>
  </si>
  <si>
    <t>I-125</t>
  </si>
  <si>
    <t>I-126</t>
  </si>
  <si>
    <t>I-129</t>
  </si>
  <si>
    <t>I-131</t>
  </si>
  <si>
    <t>I-132</t>
  </si>
  <si>
    <t>I-133</t>
  </si>
  <si>
    <t>I-134</t>
  </si>
  <si>
    <t>I-135</t>
  </si>
  <si>
    <t>Ir-190</t>
  </si>
  <si>
    <t>Ir-192</t>
  </si>
  <si>
    <t>Ir-194</t>
  </si>
  <si>
    <t>Tl-200</t>
  </si>
  <si>
    <t>Tl-201</t>
  </si>
  <si>
    <t>Tl-202</t>
  </si>
  <si>
    <t>Tl-204</t>
  </si>
  <si>
    <t>Sr-90</t>
  </si>
  <si>
    <t>Zr-93</t>
  </si>
  <si>
    <t>Zr-97</t>
  </si>
  <si>
    <t>Ru-106</t>
  </si>
  <si>
    <t>Ag-108m</t>
  </si>
  <si>
    <t>Ba-140</t>
  </si>
  <si>
    <t>Ce-144</t>
  </si>
  <si>
    <t>Pb-210</t>
  </si>
  <si>
    <t>Pb-212</t>
  </si>
  <si>
    <t>Bi-212</t>
  </si>
  <si>
    <t>Rn-222</t>
  </si>
  <si>
    <t>Ra-223</t>
  </si>
  <si>
    <t>Ra-224</t>
  </si>
  <si>
    <t>Ra-226</t>
  </si>
  <si>
    <t>Ra-228</t>
  </si>
  <si>
    <t>Th-228</t>
  </si>
  <si>
    <t>Th-229</t>
  </si>
  <si>
    <t>Th-234</t>
  </si>
  <si>
    <t>U-230</t>
  </si>
  <si>
    <t>U-232</t>
  </si>
  <si>
    <t>U-235</t>
  </si>
  <si>
    <t>U-238</t>
  </si>
  <si>
    <t>Np-237</t>
  </si>
  <si>
    <t>Am-242m</t>
  </si>
  <si>
    <t>Am-243</t>
  </si>
  <si>
    <t>Activity</t>
  </si>
  <si>
    <t>Au-195</t>
  </si>
  <si>
    <t>Ba-133</t>
  </si>
  <si>
    <t>Ga-67</t>
  </si>
  <si>
    <t>I-124</t>
  </si>
  <si>
    <t>Pm-145</t>
  </si>
  <si>
    <t>Th-232</t>
  </si>
  <si>
    <t>W-188</t>
  </si>
  <si>
    <t>Yb-169</t>
  </si>
  <si>
    <t>Rb-84</t>
  </si>
  <si>
    <t>Te-121m</t>
  </si>
  <si>
    <t>Te-121</t>
  </si>
  <si>
    <t>Disintegration [years]</t>
  </si>
  <si>
    <t>Isotope</t>
  </si>
  <si>
    <t>Data aktywności</t>
  </si>
  <si>
    <t>Aktywność na dziś</t>
  </si>
  <si>
    <t>Aktywność po latach</t>
  </si>
  <si>
    <t>Mass [kg]</t>
  </si>
  <si>
    <t>Sn/Cn</t>
  </si>
  <si>
    <t>∑</t>
  </si>
  <si>
    <t>Aktywność na dzień</t>
  </si>
  <si>
    <t>Data na którą przeliczamy akt.</t>
  </si>
  <si>
    <t>Activity concentration of long-life isotopesin waste [kBq/kg] Sn</t>
  </si>
  <si>
    <t>Półrozpad [lat]</t>
  </si>
  <si>
    <t>Za lat…</t>
  </si>
  <si>
    <t xml:space="preserve"> to nie jest odpad !!!</t>
  </si>
  <si>
    <t>przejściowy</t>
  </si>
  <si>
    <t>krótkożyciowy</t>
  </si>
  <si>
    <t>długożyciowy</t>
  </si>
  <si>
    <t>Effective doserate coefficient for external dose due to photons and beta emission at 1m [Sv*Bq-1*h-1]</t>
  </si>
  <si>
    <t>moc dawki w odl. 1m</t>
  </si>
  <si>
    <t>moc dawki w odl. 1m w [Sv]</t>
  </si>
  <si>
    <t>moc dawki w odl. 1m w [μSv]</t>
  </si>
  <si>
    <t>mSv</t>
  </si>
  <si>
    <t>μSv</t>
  </si>
  <si>
    <t>Activity after 3 years [MBq]</t>
  </si>
  <si>
    <t>Activity concentration after years [kBq/kg]</t>
  </si>
  <si>
    <t>moc dawki w odl. 25 cm</t>
  </si>
  <si>
    <t>moc dawki w odl. 25 cm w [mSv]</t>
  </si>
  <si>
    <t>moc dawki w odl. 1 cm w [mSv]</t>
  </si>
  <si>
    <t>moc dawki w odl. 1 cm</t>
  </si>
  <si>
    <t>Data początkowa</t>
  </si>
  <si>
    <t>Data aktywności pocz.</t>
  </si>
  <si>
    <t>mR/h</t>
  </si>
  <si>
    <t>R/h</t>
  </si>
  <si>
    <t>moc dawki w odl. 10 cm</t>
  </si>
  <si>
    <t>moc dawki w odl. 10 cm w [mSv]</t>
  </si>
  <si>
    <t>Activity [MBq]</t>
  </si>
  <si>
    <t>Ge-68</t>
  </si>
  <si>
    <r>
      <t xml:space="preserve">Activity concentration for clreance (Bq/g) </t>
    </r>
    <r>
      <rPr>
        <b/>
        <sz val="11"/>
        <color indexed="10"/>
        <rFont val="Calibri"/>
        <family val="2"/>
        <charset val="238"/>
        <scheme val="minor"/>
      </rPr>
      <t>[Clearance Level]</t>
    </r>
  </si>
  <si>
    <t>Begining_Isotope Concentration [kBq/kg]</t>
  </si>
  <si>
    <t>∑ Begining_Isotope Concentration [kBq/kg]</t>
  </si>
  <si>
    <t>∑ Sn/Cn</t>
  </si>
  <si>
    <t>Activity after 3 years [kBq]</t>
  </si>
  <si>
    <t>After 3 Years Isotope Concentr.[kBq/kg]</t>
  </si>
  <si>
    <t>Sum of Isotope Activity Concentr. After 3 years  [kBq/kg]</t>
  </si>
  <si>
    <t>After 3 years Sn/Cn</t>
  </si>
  <si>
    <t>After 3 years ∑Sn/Cn</t>
  </si>
  <si>
    <t>Activity Concentr of Alfa isotopes  [kBq/kg]</t>
  </si>
  <si>
    <t xml:space="preserve"> ∑ Activity concentration of Alfa isotopes  [kBq/kg]</t>
  </si>
  <si>
    <t>Activity concentration of long life beta isotopes  [kBq/kg]</t>
  </si>
  <si>
    <t>∑ Sn/Cn Long Lied β</t>
  </si>
  <si>
    <t>Activity concentration in regulation [kBq/kg] Cn [Exemption Levels]</t>
  </si>
  <si>
    <t>Category:</t>
  </si>
  <si>
    <t>Subcategory:</t>
  </si>
  <si>
    <t>If T1/2 &gt; 100 days</t>
  </si>
  <si>
    <t>If All isotopes T1/2&gt;100 days</t>
  </si>
  <si>
    <t>∑ Sn/Cn without VSLW</t>
  </si>
  <si>
    <t>∑ Begining_Isotope Concentration without VSLW [kBq/kg]</t>
  </si>
  <si>
    <t>IAEA Category:</t>
  </si>
  <si>
    <t>Activity concentration of long life isotopes  [kBq/kg]</t>
  </si>
  <si>
    <t>∑ Sum of activity concentration of long life isotopes  [kBq/kg]</t>
  </si>
  <si>
    <t>∑ Sn/Cn Long Lied</t>
  </si>
  <si>
    <t>Sn-121</t>
  </si>
  <si>
    <t>Y-88</t>
  </si>
  <si>
    <t>∑activity concentration of long life isotopes  [kBq/kg]</t>
  </si>
  <si>
    <t>∑activity concentration of long life beta isotopes  [kBq/kg]</t>
  </si>
  <si>
    <t>Long lived Alpha</t>
  </si>
  <si>
    <t>Long lived Beta</t>
  </si>
  <si>
    <t>Begining_Isotope Concentration (C-14,H-3/10) [kBq/kg]</t>
  </si>
  <si>
    <t>∑ Begining_Isotope Concentration (C-14,H-3/10) [kBq/kg]</t>
  </si>
  <si>
    <t>∑ Begining_Isotope Concentration without VSLW (C-14,H-3/10) [kBq/kg]</t>
  </si>
  <si>
    <t>Isotope Concentration (without C-14,H-3 and T1/2&lt;100 days) [kBq/kg]</t>
  </si>
  <si>
    <r>
      <rPr>
        <b/>
        <sz val="9"/>
        <color theme="7" tint="-0.249977111117893"/>
        <rFont val="Calibri"/>
        <family val="2"/>
        <charset val="238"/>
      </rPr>
      <t>∑</t>
    </r>
    <r>
      <rPr>
        <b/>
        <sz val="9"/>
        <color theme="7" tint="-0.249977111117893"/>
        <rFont val="Arial"/>
        <family val="2"/>
        <charset val="238"/>
      </rPr>
      <t xml:space="preserve"> Isotope Concentration (without C-14,H-3 and T1/2&lt;100 days) [kBq/kg]</t>
    </r>
  </si>
  <si>
    <t>If concentration C-14 , h-3 &lt;1000 Bq/kg</t>
  </si>
  <si>
    <r>
      <rPr>
        <b/>
        <sz val="9"/>
        <color theme="7" tint="-0.249977111117893"/>
        <rFont val="Calibri"/>
        <family val="2"/>
        <charset val="238"/>
      </rPr>
      <t>∑</t>
    </r>
    <r>
      <rPr>
        <b/>
        <sz val="9"/>
        <color theme="7" tint="-0.249977111117893"/>
        <rFont val="Arial"/>
        <family val="2"/>
        <charset val="238"/>
      </rPr>
      <t xml:space="preserve"> If concentration C-14 , h-3 &lt;1000 Bq/kg</t>
    </r>
  </si>
  <si>
    <t>Radionuclide</t>
  </si>
  <si>
    <t>D-Value [TBq]</t>
  </si>
  <si>
    <t>D1-Value (encapsulated) [TBq]</t>
  </si>
  <si>
    <t>D2-Value (dispersed) [TBq]</t>
  </si>
  <si>
    <t>A1 [TBq]</t>
  </si>
  <si>
    <t>A2 [TBq]</t>
  </si>
  <si>
    <t>Transport Security Threshold [TBq]</t>
  </si>
  <si>
    <t>D1-Value (encapsulated) [Bq]</t>
  </si>
  <si>
    <t>D2-Value (dispersed) [Bq]</t>
  </si>
  <si>
    <t>A1 [Bq]</t>
  </si>
  <si>
    <t>A2 [Bq]</t>
  </si>
  <si>
    <t>Transport Security Threshold [Bq]</t>
  </si>
  <si>
    <t>Activity concentration for exempt material (Bq/g)</t>
  </si>
  <si>
    <t>Desintegration [Years]</t>
  </si>
  <si>
    <t>Ac-225</t>
  </si>
  <si>
    <t>3 000*A2</t>
  </si>
  <si>
    <t>Ac-227</t>
  </si>
  <si>
    <t>Al-26</t>
  </si>
  <si>
    <t>10*D-Value</t>
  </si>
  <si>
    <t>UL</t>
  </si>
  <si>
    <t>Ar-39</t>
  </si>
  <si>
    <t>As-72</t>
  </si>
  <si>
    <t>Au-193</t>
  </si>
  <si>
    <t>Au-194</t>
  </si>
  <si>
    <t>Ba-133m</t>
  </si>
  <si>
    <t>Be-10</t>
  </si>
  <si>
    <t>Bi-205</t>
  </si>
  <si>
    <t>Bi-210m</t>
  </si>
  <si>
    <t>Bk-247</t>
  </si>
  <si>
    <t>Br-76</t>
  </si>
  <si>
    <t>Br-77</t>
  </si>
  <si>
    <t>C-11</t>
  </si>
  <si>
    <t>Ca-41</t>
  </si>
  <si>
    <t>Cd-113m</t>
  </si>
  <si>
    <t>Cm-240</t>
  </si>
  <si>
    <t>Cm-241</t>
  </si>
  <si>
    <t>Cu-67</t>
  </si>
  <si>
    <t>Dy-159</t>
  </si>
  <si>
    <t>Eu-147</t>
  </si>
  <si>
    <t>Eu-148</t>
  </si>
  <si>
    <t>Eu-149</t>
  </si>
  <si>
    <t>Eu-150a</t>
  </si>
  <si>
    <t>Eu-150b</t>
  </si>
  <si>
    <t>Eu-156</t>
  </si>
  <si>
    <t>Fe-60</t>
  </si>
  <si>
    <t>Ga-68</t>
  </si>
  <si>
    <t>Gd-146</t>
  </si>
  <si>
    <t>Gd-148</t>
  </si>
  <si>
    <t>Ge-77</t>
  </si>
  <si>
    <t>Hf-172</t>
  </si>
  <si>
    <t>Hf-175</t>
  </si>
  <si>
    <t>Hf-182</t>
  </si>
  <si>
    <t>Hg-194</t>
  </si>
  <si>
    <t>Hg-195m</t>
  </si>
  <si>
    <t>Ho-166m</t>
  </si>
  <si>
    <t>Ir-189</t>
  </si>
  <si>
    <t>La-137</t>
  </si>
  <si>
    <t>Lu-172</t>
  </si>
  <si>
    <t>Lu-173</t>
  </si>
  <si>
    <t>Lu-174</t>
  </si>
  <si>
    <t>Lu-174m</t>
  </si>
  <si>
    <t>Mg-28</t>
  </si>
  <si>
    <t>N-13</t>
  </si>
  <si>
    <t>Np-235</t>
  </si>
  <si>
    <t>Np-236a</t>
  </si>
  <si>
    <t>Np-236b</t>
  </si>
  <si>
    <t>Os-194</t>
  </si>
  <si>
    <t>Pb-201</t>
  </si>
  <si>
    <t>Pb-202</t>
  </si>
  <si>
    <t>Pb-205</t>
  </si>
  <si>
    <t>Pd-107</t>
  </si>
  <si>
    <t>Pm-143</t>
  </si>
  <si>
    <t>Pm-144</t>
  </si>
  <si>
    <t>Pm-148m</t>
  </si>
  <si>
    <t>Pm-151</t>
  </si>
  <si>
    <t>Pt-188</t>
  </si>
  <si>
    <t>Pt-193</t>
  </si>
  <si>
    <t>Pt-195m</t>
  </si>
  <si>
    <t>Pu-Be</t>
  </si>
  <si>
    <t>Rb-81</t>
  </si>
  <si>
    <t>Rb-83</t>
  </si>
  <si>
    <t>Rb-87</t>
  </si>
  <si>
    <t>Re-184</t>
  </si>
  <si>
    <t>Re-184m</t>
  </si>
  <si>
    <t>Re-187</t>
  </si>
  <si>
    <t>Re-189</t>
  </si>
  <si>
    <t>Rh-101</t>
  </si>
  <si>
    <t>Rh-102</t>
  </si>
  <si>
    <t>Rh-102m</t>
  </si>
  <si>
    <t>Rh-99</t>
  </si>
  <si>
    <t>Sb-126</t>
  </si>
  <si>
    <t>Sc-44</t>
  </si>
  <si>
    <t>Se-79</t>
  </si>
  <si>
    <t>Si-32</t>
  </si>
  <si>
    <t>Sm-145</t>
  </si>
  <si>
    <t>Sm-147</t>
  </si>
  <si>
    <t>Sn-117m</t>
  </si>
  <si>
    <t>Sn-119m</t>
  </si>
  <si>
    <t>Sn-121m</t>
  </si>
  <si>
    <t>Sn-123</t>
  </si>
  <si>
    <t>Sn-126</t>
  </si>
  <si>
    <t>Sr-82</t>
  </si>
  <si>
    <t>Ta-178</t>
  </si>
  <si>
    <t>Ta-179</t>
  </si>
  <si>
    <t>Tb-157</t>
  </si>
  <si>
    <t>Tb-158</t>
  </si>
  <si>
    <t>Tc-95m</t>
  </si>
  <si>
    <t>Tc-98</t>
  </si>
  <si>
    <t>Ti-44</t>
  </si>
  <si>
    <t>Tm-167</t>
  </si>
  <si>
    <t>U Depleted</t>
  </si>
  <si>
    <t>U Enriched 10-20%</t>
  </si>
  <si>
    <t>U Natural</t>
  </si>
  <si>
    <t>V-49</t>
  </si>
  <si>
    <t>W-178</t>
  </si>
  <si>
    <t>Xe-122</t>
  </si>
  <si>
    <t>Xe-123</t>
  </si>
  <si>
    <t>Xe-127</t>
  </si>
  <si>
    <t>Y-87</t>
  </si>
  <si>
    <t>Zr-88</t>
  </si>
  <si>
    <t>High Activity Source Directive 2013/59/EURATOM  [TBq]</t>
  </si>
  <si>
    <t>High Activity Source Directive 2013/59/EURATOM  [Bq]</t>
  </si>
  <si>
    <t>Alpha Emitter:</t>
  </si>
  <si>
    <t>Alpha</t>
  </si>
  <si>
    <t>Activity Concentr of Long Lived Alpha isotopes  [kBq/kg]</t>
  </si>
  <si>
    <t xml:space="preserve"> ∑ Activity concentration of Long Lived Alpha isotopes  [kBq/kg]</t>
  </si>
  <si>
    <r>
      <t>D-Value [Bq]</t>
    </r>
    <r>
      <rPr>
        <b/>
        <sz val="12"/>
        <color rgb="FFFF0000"/>
        <rFont val="Calibri"/>
        <family val="2"/>
        <charset val="238"/>
        <scheme val="minor"/>
      </rPr>
      <t xml:space="preserve"> P</t>
    </r>
    <r>
      <rPr>
        <b/>
        <vertAlign val="subscript"/>
        <sz val="12"/>
        <color rgb="FFFF0000"/>
        <rFont val="Calibri"/>
        <family val="2"/>
        <charset val="238"/>
        <scheme val="minor"/>
      </rPr>
      <t>2</t>
    </r>
  </si>
  <si>
    <r>
      <t>Activity limit for an exempt consignment (Bq)</t>
    </r>
    <r>
      <rPr>
        <b/>
        <sz val="12"/>
        <color theme="9" tint="-0.499984740745262"/>
        <rFont val="Calibri"/>
        <family val="2"/>
        <charset val="238"/>
        <scheme val="minor"/>
      </rPr>
      <t xml:space="preserve"> P</t>
    </r>
    <r>
      <rPr>
        <b/>
        <vertAlign val="subscript"/>
        <sz val="12"/>
        <color theme="9" tint="-0.499984740745262"/>
        <rFont val="Calibri"/>
        <family val="2"/>
        <charset val="238"/>
        <scheme val="minor"/>
      </rPr>
      <t>1</t>
    </r>
  </si>
  <si>
    <t>Lu-177m</t>
  </si>
  <si>
    <t>Bi-213</t>
  </si>
  <si>
    <t>Bi-214</t>
  </si>
  <si>
    <t>I-121</t>
  </si>
  <si>
    <t>Kr-88</t>
  </si>
  <si>
    <t>Pb-214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</si>
</sst>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#,##0.0"/>
    <numFmt numFmtId="167" formatCode="#,##0.000"/>
    <numFmt numFmtId="168" formatCode="0.0000"/>
    <numFmt numFmtId="169" formatCode="0.0E+00"/>
    <numFmt numFmtId="170" formatCode="#,##0.0000"/>
  </numFmts>
  <fonts count="65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2"/>
      <color indexed="12"/>
      <name val="Arial"/>
      <family val="2"/>
      <charset val="238"/>
    </font>
    <font>
      <b/>
      <sz val="12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8"/>
      <name val="Arial"/>
      <family val="2"/>
      <charset val="238"/>
    </font>
    <font>
      <b/>
      <sz val="10"/>
      <name val="Arial"/>
      <family val="2"/>
      <charset val="238"/>
    </font>
    <font>
      <b/>
      <sz val="12"/>
      <name val="Arial"/>
      <family val="2"/>
      <charset val="238"/>
    </font>
    <font>
      <sz val="10"/>
      <color indexed="12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color indexed="12"/>
      <name val="Arial"/>
      <family val="2"/>
      <charset val="238"/>
    </font>
    <font>
      <b/>
      <sz val="14"/>
      <color indexed="12"/>
      <name val="Arial"/>
      <family val="2"/>
      <charset val="238"/>
    </font>
    <font>
      <b/>
      <sz val="10"/>
      <color indexed="12"/>
      <name val="Arial"/>
      <family val="2"/>
      <charset val="238"/>
    </font>
    <font>
      <sz val="8"/>
      <name val="Arial"/>
      <family val="2"/>
      <charset val="238"/>
    </font>
    <font>
      <sz val="8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1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11"/>
      <color indexed="12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b/>
      <sz val="9"/>
      <color theme="5"/>
      <name val="Arial"/>
      <family val="2"/>
      <charset val="238"/>
    </font>
    <font>
      <b/>
      <sz val="9"/>
      <color theme="4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9"/>
      <name val="Arial"/>
      <family val="2"/>
      <charset val="238"/>
    </font>
    <font>
      <b/>
      <sz val="11"/>
      <name val="Calibri"/>
      <family val="2"/>
      <charset val="238"/>
      <scheme val="minor"/>
    </font>
    <font>
      <b/>
      <sz val="9"/>
      <color rgb="FF0070C0"/>
      <name val="Arial"/>
      <family val="2"/>
      <charset val="238"/>
    </font>
    <font>
      <sz val="10"/>
      <color theme="4" tint="-0.249977111117893"/>
      <name val="Arial"/>
      <family val="2"/>
      <charset val="238"/>
    </font>
    <font>
      <b/>
      <sz val="14"/>
      <color rgb="FFFF0000"/>
      <name val="Arial"/>
      <family val="2"/>
      <charset val="238"/>
    </font>
    <font>
      <b/>
      <sz val="9"/>
      <color rgb="FF00B0F0"/>
      <name val="Aria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12"/>
      <color rgb="FF00B050"/>
      <name val="Arial"/>
      <family val="2"/>
      <charset val="238"/>
    </font>
    <font>
      <b/>
      <sz val="10"/>
      <color rgb="FFFF0000"/>
      <name val="Arial"/>
      <family val="2"/>
      <charset val="238"/>
    </font>
    <font>
      <b/>
      <sz val="12"/>
      <color rgb="FFFF0000"/>
      <name val="Arial"/>
      <family val="2"/>
      <charset val="238"/>
    </font>
    <font>
      <sz val="10"/>
      <color rgb="FF92D050"/>
      <name val="Arial"/>
      <family val="2"/>
      <charset val="238"/>
    </font>
    <font>
      <b/>
      <sz val="14"/>
      <color rgb="FF0070C0"/>
      <name val="Arial"/>
      <family val="2"/>
      <charset val="238"/>
    </font>
    <font>
      <sz val="10"/>
      <color theme="1"/>
      <name val="Calibri"/>
      <family val="2"/>
      <scheme val="minor"/>
    </font>
    <font>
      <b/>
      <sz val="14"/>
      <color theme="3"/>
      <name val="Arial"/>
      <family val="2"/>
      <charset val="238"/>
    </font>
    <font>
      <b/>
      <sz val="11"/>
      <color rgb="FFFF0000"/>
      <name val="Calibri"/>
      <family val="2"/>
      <charset val="238"/>
      <scheme val="minor"/>
    </font>
    <font>
      <sz val="10"/>
      <color theme="0" tint="-0.499984740745262"/>
      <name val="Arial"/>
      <family val="2"/>
      <charset val="238"/>
    </font>
    <font>
      <b/>
      <sz val="10"/>
      <color theme="0" tint="-0.499984740745262"/>
      <name val="Arial"/>
      <family val="2"/>
      <charset val="238"/>
    </font>
    <font>
      <b/>
      <sz val="12"/>
      <color theme="0" tint="-0.499984740745262"/>
      <name val="Arial"/>
      <family val="2"/>
      <charset val="238"/>
    </font>
    <font>
      <b/>
      <sz val="9"/>
      <color theme="7" tint="-0.249977111117893"/>
      <name val="Arial"/>
      <family val="2"/>
      <charset val="238"/>
    </font>
    <font>
      <b/>
      <sz val="9"/>
      <color theme="7" tint="-0.249977111117893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1"/>
      <color theme="4" tint="-0.499984740745262"/>
      <name val="Calibri"/>
      <family val="2"/>
      <charset val="238"/>
      <scheme val="minor"/>
    </font>
    <font>
      <b/>
      <i/>
      <sz val="11"/>
      <color theme="4" tint="-0.499984740745262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indexed="8"/>
      <name val="Calibri"/>
      <family val="2"/>
      <charset val="238"/>
      <scheme val="minor"/>
    </font>
    <font>
      <b/>
      <sz val="11"/>
      <color theme="3" tint="-0.249977111117893"/>
      <name val="Calibri"/>
      <family val="2"/>
      <charset val="238"/>
      <scheme val="minor"/>
    </font>
    <font>
      <b/>
      <sz val="14"/>
      <name val="Arial"/>
      <family val="2"/>
      <charset val="238"/>
    </font>
    <font>
      <b/>
      <sz val="12"/>
      <color rgb="FFFF0000"/>
      <name val="Calibri"/>
      <family val="2"/>
      <charset val="238"/>
      <scheme val="minor"/>
    </font>
    <font>
      <b/>
      <vertAlign val="subscript"/>
      <sz val="12"/>
      <color rgb="FFFF0000"/>
      <name val="Calibri"/>
      <family val="2"/>
      <charset val="238"/>
      <scheme val="minor"/>
    </font>
    <font>
      <b/>
      <sz val="11"/>
      <color theme="9" tint="-0.499984740745262"/>
      <name val="Calibri"/>
      <family val="2"/>
      <charset val="238"/>
      <scheme val="minor"/>
    </font>
    <font>
      <sz val="11"/>
      <color theme="9" tint="-0.499984740745262"/>
      <name val="Calibri"/>
      <family val="2"/>
      <charset val="238"/>
      <scheme val="minor"/>
    </font>
    <font>
      <sz val="10"/>
      <color theme="9" tint="-0.499984740745262"/>
      <name val="Arial"/>
      <family val="2"/>
      <charset val="238"/>
    </font>
    <font>
      <b/>
      <sz val="12"/>
      <color theme="9" tint="-0.499984740745262"/>
      <name val="Calibri"/>
      <family val="2"/>
      <charset val="238"/>
      <scheme val="minor"/>
    </font>
    <font>
      <b/>
      <vertAlign val="subscript"/>
      <sz val="12"/>
      <color theme="9" tint="-0.499984740745262"/>
      <name val="Calibri"/>
      <family val="2"/>
      <charset val="238"/>
      <scheme val="minor"/>
    </font>
    <font>
      <sz val="10"/>
      <color theme="9" tint="-0.499984740745262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99CC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203">
    <xf numFmtId="0" fontId="0" fillId="0" borderId="0" xfId="0"/>
    <xf numFmtId="2" fontId="0" fillId="0" borderId="0" xfId="0" applyNumberFormat="1"/>
    <xf numFmtId="0" fontId="6" fillId="0" borderId="0" xfId="1" applyAlignment="1">
      <alignment horizontal="right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/>
    <xf numFmtId="3" fontId="0" fillId="0" borderId="0" xfId="0" applyNumberFormat="1" applyAlignment="1">
      <alignment vertical="center"/>
    </xf>
    <xf numFmtId="3" fontId="0" fillId="0" borderId="0" xfId="0" applyNumberFormat="1"/>
    <xf numFmtId="0" fontId="12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167" fontId="0" fillId="0" borderId="0" xfId="0" applyNumberFormat="1" applyAlignment="1">
      <alignment horizontal="right" vertical="center"/>
    </xf>
    <xf numFmtId="167" fontId="0" fillId="0" borderId="0" xfId="0" applyNumberFormat="1" applyAlignment="1">
      <alignment horizontal="right"/>
    </xf>
    <xf numFmtId="0" fontId="15" fillId="0" borderId="0" xfId="0" applyFont="1"/>
    <xf numFmtId="0" fontId="2" fillId="0" borderId="0" xfId="0" applyFont="1" applyAlignment="1">
      <alignment horizontal="center"/>
    </xf>
    <xf numFmtId="0" fontId="0" fillId="0" borderId="1" xfId="0" applyBorder="1"/>
    <xf numFmtId="0" fontId="8" fillId="0" borderId="2" xfId="0" applyFont="1" applyBorder="1"/>
    <xf numFmtId="14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5" fillId="0" borderId="3" xfId="0" applyFont="1" applyBorder="1"/>
    <xf numFmtId="0" fontId="2" fillId="0" borderId="4" xfId="0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1" xfId="0" applyFont="1" applyBorder="1"/>
    <xf numFmtId="2" fontId="4" fillId="0" borderId="5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4" fontId="2" fillId="0" borderId="7" xfId="0" applyNumberFormat="1" applyFont="1" applyBorder="1" applyAlignment="1">
      <alignment horizontal="center"/>
    </xf>
    <xf numFmtId="168" fontId="0" fillId="0" borderId="0" xfId="0" applyNumberFormat="1" applyAlignment="1">
      <alignment vertical="center"/>
    </xf>
    <xf numFmtId="168" fontId="0" fillId="0" borderId="0" xfId="0" applyNumberFormat="1"/>
    <xf numFmtId="164" fontId="0" fillId="0" borderId="0" xfId="0" applyNumberFormat="1" applyAlignment="1">
      <alignment vertical="center"/>
    </xf>
    <xf numFmtId="164" fontId="0" fillId="0" borderId="0" xfId="0" applyNumberFormat="1"/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67" fontId="8" fillId="0" borderId="0" xfId="0" applyNumberFormat="1" applyFont="1" applyAlignment="1">
      <alignment horizontal="right" vertical="center"/>
    </xf>
    <xf numFmtId="0" fontId="3" fillId="0" borderId="0" xfId="0" applyFont="1" applyAlignment="1">
      <alignment vertical="center"/>
    </xf>
    <xf numFmtId="168" fontId="8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1" xfId="0" applyBorder="1" applyAlignment="1">
      <alignment vertical="center" wrapText="1"/>
    </xf>
    <xf numFmtId="0" fontId="7" fillId="0" borderId="8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8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14" fontId="1" fillId="0" borderId="6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5" xfId="0" applyFont="1" applyBorder="1" applyAlignment="1">
      <alignment horizontal="center" vertical="center" wrapText="1"/>
    </xf>
    <xf numFmtId="14" fontId="3" fillId="0" borderId="6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3" fontId="5" fillId="0" borderId="0" xfId="0" applyNumberFormat="1" applyFont="1"/>
    <xf numFmtId="0" fontId="5" fillId="0" borderId="0" xfId="0" applyFont="1"/>
    <xf numFmtId="167" fontId="5" fillId="0" borderId="0" xfId="0" applyNumberFormat="1" applyFont="1" applyAlignment="1">
      <alignment horizontal="right"/>
    </xf>
    <xf numFmtId="164" fontId="5" fillId="0" borderId="0" xfId="0" applyNumberFormat="1" applyFont="1"/>
    <xf numFmtId="168" fontId="5" fillId="0" borderId="0" xfId="0" applyNumberFormat="1" applyFont="1"/>
    <xf numFmtId="0" fontId="20" fillId="2" borderId="9" xfId="0" applyFont="1" applyFill="1" applyBorder="1" applyAlignment="1">
      <alignment vertical="center"/>
    </xf>
    <xf numFmtId="0" fontId="22" fillId="0" borderId="0" xfId="0" applyFont="1" applyAlignment="1">
      <alignment horizontal="center" textRotation="90" wrapText="1"/>
    </xf>
    <xf numFmtId="3" fontId="22" fillId="0" borderId="0" xfId="0" applyNumberFormat="1" applyFont="1" applyAlignment="1">
      <alignment horizontal="center" textRotation="90" wrapText="1"/>
    </xf>
    <xf numFmtId="167" fontId="22" fillId="0" borderId="0" xfId="0" applyNumberFormat="1" applyFont="1" applyAlignment="1">
      <alignment horizontal="center" textRotation="90" wrapText="1"/>
    </xf>
    <xf numFmtId="1" fontId="22" fillId="0" borderId="0" xfId="0" applyNumberFormat="1" applyFont="1" applyAlignment="1">
      <alignment horizontal="center" textRotation="90" wrapText="1"/>
    </xf>
    <xf numFmtId="3" fontId="24" fillId="0" borderId="0" xfId="0" applyNumberFormat="1" applyFont="1" applyAlignment="1">
      <alignment horizontal="center" textRotation="90" wrapText="1"/>
    </xf>
    <xf numFmtId="166" fontId="24" fillId="0" borderId="0" xfId="0" applyNumberFormat="1" applyFont="1" applyAlignment="1">
      <alignment horizontal="center" textRotation="90" wrapText="1"/>
    </xf>
    <xf numFmtId="3" fontId="25" fillId="0" borderId="0" xfId="0" applyNumberFormat="1" applyFont="1" applyAlignment="1">
      <alignment horizontal="center" textRotation="90" wrapText="1"/>
    </xf>
    <xf numFmtId="3" fontId="26" fillId="0" borderId="0" xfId="0" applyNumberFormat="1" applyFont="1" applyAlignment="1">
      <alignment horizontal="center" textRotation="90" wrapText="1"/>
    </xf>
    <xf numFmtId="0" fontId="26" fillId="0" borderId="0" xfId="0" applyFont="1" applyAlignment="1">
      <alignment horizontal="center" textRotation="90" wrapText="1"/>
    </xf>
    <xf numFmtId="164" fontId="26" fillId="0" borderId="0" xfId="0" applyNumberFormat="1" applyFont="1" applyAlignment="1">
      <alignment horizontal="center" textRotation="90" wrapText="1"/>
    </xf>
    <xf numFmtId="3" fontId="27" fillId="0" borderId="0" xfId="0" applyNumberFormat="1" applyFont="1" applyAlignment="1">
      <alignment horizontal="center" textRotation="90" wrapText="1"/>
    </xf>
    <xf numFmtId="0" fontId="27" fillId="0" borderId="0" xfId="0" applyFont="1" applyAlignment="1">
      <alignment horizontal="center" textRotation="90" wrapText="1"/>
    </xf>
    <xf numFmtId="0" fontId="22" fillId="0" borderId="0" xfId="0" applyFont="1" applyAlignment="1">
      <alignment horizontal="center" wrapText="1"/>
    </xf>
    <xf numFmtId="0" fontId="23" fillId="0" borderId="0" xfId="0" applyFont="1" applyAlignment="1">
      <alignment horizontal="center" wrapText="1"/>
    </xf>
    <xf numFmtId="0" fontId="29" fillId="0" borderId="0" xfId="0" applyFont="1" applyAlignment="1">
      <alignment vertical="center" textRotation="90" wrapText="1"/>
    </xf>
    <xf numFmtId="164" fontId="22" fillId="0" borderId="0" xfId="0" applyNumberFormat="1" applyFont="1" applyAlignment="1">
      <alignment horizontal="center" textRotation="90" wrapText="1"/>
    </xf>
    <xf numFmtId="168" fontId="22" fillId="0" borderId="0" xfId="0" applyNumberFormat="1" applyFont="1" applyAlignment="1">
      <alignment horizontal="center" textRotation="90" wrapText="1"/>
    </xf>
    <xf numFmtId="0" fontId="22" fillId="0" borderId="0" xfId="1" applyFont="1" applyAlignment="1">
      <alignment horizontal="center" textRotation="90" wrapText="1"/>
    </xf>
    <xf numFmtId="0" fontId="22" fillId="0" borderId="0" xfId="0" applyFont="1" applyAlignment="1">
      <alignment wrapText="1"/>
    </xf>
    <xf numFmtId="3" fontId="30" fillId="0" borderId="0" xfId="0" applyNumberFormat="1" applyFont="1" applyAlignment="1">
      <alignment horizontal="center" textRotation="90" wrapText="1"/>
    </xf>
    <xf numFmtId="166" fontId="0" fillId="0" borderId="0" xfId="0" applyNumberFormat="1"/>
    <xf numFmtId="166" fontId="8" fillId="0" borderId="0" xfId="0" applyNumberFormat="1" applyFont="1" applyAlignment="1">
      <alignment vertical="center"/>
    </xf>
    <xf numFmtId="166" fontId="5" fillId="0" borderId="0" xfId="0" applyNumberFormat="1" applyFont="1"/>
    <xf numFmtId="3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31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3" fontId="10" fillId="0" borderId="0" xfId="0" applyNumberFormat="1" applyFont="1" applyAlignment="1">
      <alignment vertical="center"/>
    </xf>
    <xf numFmtId="3" fontId="10" fillId="0" borderId="0" xfId="0" applyNumberFormat="1" applyFont="1" applyAlignment="1">
      <alignment horizontal="right" vertical="center"/>
    </xf>
    <xf numFmtId="166" fontId="10" fillId="0" borderId="0" xfId="0" applyNumberFormat="1" applyFont="1" applyAlignment="1">
      <alignment vertical="center"/>
    </xf>
    <xf numFmtId="167" fontId="1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4" fontId="10" fillId="0" borderId="0" xfId="0" applyNumberFormat="1" applyFont="1" applyAlignment="1">
      <alignment vertical="center"/>
    </xf>
    <xf numFmtId="168" fontId="10" fillId="0" borderId="0" xfId="0" applyNumberFormat="1" applyFont="1" applyAlignment="1">
      <alignment vertical="center"/>
    </xf>
    <xf numFmtId="3" fontId="32" fillId="0" borderId="0" xfId="0" applyNumberFormat="1" applyFont="1" applyAlignment="1">
      <alignment vertical="center"/>
    </xf>
    <xf numFmtId="1" fontId="33" fillId="0" borderId="0" xfId="0" applyNumberFormat="1" applyFont="1" applyAlignment="1">
      <alignment horizontal="center" textRotation="90" wrapText="1"/>
    </xf>
    <xf numFmtId="3" fontId="34" fillId="0" borderId="0" xfId="0" applyNumberFormat="1" applyFont="1" applyAlignment="1">
      <alignment vertical="center"/>
    </xf>
    <xf numFmtId="3" fontId="35" fillId="0" borderId="0" xfId="0" applyNumberFormat="1" applyFont="1" applyAlignment="1">
      <alignment horizontal="center" textRotation="90" wrapText="1"/>
    </xf>
    <xf numFmtId="0" fontId="35" fillId="0" borderId="0" xfId="0" applyFont="1" applyAlignment="1">
      <alignment horizontal="center" textRotation="90" wrapText="1"/>
    </xf>
    <xf numFmtId="3" fontId="36" fillId="0" borderId="0" xfId="0" applyNumberFormat="1" applyFont="1" applyAlignment="1">
      <alignment vertical="center"/>
    </xf>
    <xf numFmtId="3" fontId="37" fillId="0" borderId="0" xfId="0" applyNumberFormat="1" applyFont="1" applyAlignment="1">
      <alignment vertical="center"/>
    </xf>
    <xf numFmtId="3" fontId="34" fillId="0" borderId="0" xfId="0" applyNumberFormat="1" applyFont="1"/>
    <xf numFmtId="166" fontId="35" fillId="0" borderId="0" xfId="0" applyNumberFormat="1" applyFont="1" applyAlignment="1">
      <alignment horizontal="center" textRotation="90" wrapText="1"/>
    </xf>
    <xf numFmtId="166" fontId="34" fillId="0" borderId="0" xfId="0" applyNumberFormat="1" applyFont="1" applyAlignment="1">
      <alignment vertical="center"/>
    </xf>
    <xf numFmtId="166" fontId="36" fillId="0" borderId="0" xfId="0" applyNumberFormat="1" applyFont="1" applyAlignment="1">
      <alignment vertical="center"/>
    </xf>
    <xf numFmtId="166" fontId="37" fillId="0" borderId="0" xfId="0" applyNumberFormat="1" applyFont="1" applyAlignment="1">
      <alignment vertical="center"/>
    </xf>
    <xf numFmtId="166" fontId="34" fillId="0" borderId="0" xfId="0" applyNumberFormat="1" applyFont="1"/>
    <xf numFmtId="166" fontId="26" fillId="0" borderId="0" xfId="0" applyNumberFormat="1" applyFont="1" applyAlignment="1">
      <alignment horizontal="center" textRotation="90" wrapText="1"/>
    </xf>
    <xf numFmtId="3" fontId="21" fillId="0" borderId="0" xfId="0" applyNumberFormat="1" applyFont="1" applyAlignment="1">
      <alignment vertical="center"/>
    </xf>
    <xf numFmtId="3" fontId="38" fillId="0" borderId="0" xfId="0" applyNumberFormat="1" applyFont="1" applyAlignment="1">
      <alignment vertical="center"/>
    </xf>
    <xf numFmtId="3" fontId="39" fillId="0" borderId="0" xfId="0" applyNumberFormat="1" applyFont="1" applyAlignment="1">
      <alignment vertical="center"/>
    </xf>
    <xf numFmtId="3" fontId="21" fillId="0" borderId="0" xfId="0" applyNumberFormat="1" applyFont="1"/>
    <xf numFmtId="166" fontId="21" fillId="0" borderId="0" xfId="0" applyNumberFormat="1" applyFont="1" applyAlignment="1">
      <alignment vertical="center"/>
    </xf>
    <xf numFmtId="166" fontId="38" fillId="0" borderId="0" xfId="0" applyNumberFormat="1" applyFont="1" applyAlignment="1">
      <alignment vertical="center"/>
    </xf>
    <xf numFmtId="166" fontId="39" fillId="0" borderId="0" xfId="0" applyNumberFormat="1" applyFont="1" applyAlignment="1">
      <alignment vertical="center"/>
    </xf>
    <xf numFmtId="166" fontId="21" fillId="0" borderId="0" xfId="0" applyNumberFormat="1" applyFont="1"/>
    <xf numFmtId="4" fontId="0" fillId="0" borderId="0" xfId="0" applyNumberFormat="1" applyAlignment="1">
      <alignment vertical="center"/>
    </xf>
    <xf numFmtId="4" fontId="24" fillId="0" borderId="0" xfId="0" applyNumberFormat="1" applyFont="1" applyAlignment="1">
      <alignment horizontal="center" textRotation="90" wrapText="1"/>
    </xf>
    <xf numFmtId="4" fontId="10" fillId="0" borderId="0" xfId="0" applyNumberFormat="1" applyFont="1" applyAlignment="1">
      <alignment vertical="center"/>
    </xf>
    <xf numFmtId="4" fontId="8" fillId="0" borderId="0" xfId="0" applyNumberFormat="1" applyFont="1" applyAlignment="1">
      <alignment vertical="center"/>
    </xf>
    <xf numFmtId="4" fontId="0" fillId="0" borderId="0" xfId="0" applyNumberFormat="1"/>
    <xf numFmtId="4" fontId="5" fillId="0" borderId="0" xfId="0" applyNumberFormat="1" applyFont="1"/>
    <xf numFmtId="3" fontId="13" fillId="0" borderId="0" xfId="0" applyNumberFormat="1" applyFont="1" applyAlignment="1">
      <alignment vertical="center"/>
    </xf>
    <xf numFmtId="3" fontId="40" fillId="0" borderId="0" xfId="0" applyNumberFormat="1" applyFont="1"/>
    <xf numFmtId="4" fontId="34" fillId="0" borderId="0" xfId="0" applyNumberFormat="1" applyFont="1" applyAlignment="1">
      <alignment vertical="center"/>
    </xf>
    <xf numFmtId="4" fontId="35" fillId="0" borderId="0" xfId="0" applyNumberFormat="1" applyFont="1" applyAlignment="1">
      <alignment horizontal="center" textRotation="90" wrapText="1"/>
    </xf>
    <xf numFmtId="4" fontId="36" fillId="0" borderId="0" xfId="0" applyNumberFormat="1" applyFont="1" applyAlignment="1">
      <alignment vertical="center"/>
    </xf>
    <xf numFmtId="4" fontId="37" fillId="0" borderId="0" xfId="0" applyNumberFormat="1" applyFont="1" applyAlignment="1">
      <alignment vertical="center"/>
    </xf>
    <xf numFmtId="4" fontId="34" fillId="0" borderId="0" xfId="0" applyNumberFormat="1" applyFont="1"/>
    <xf numFmtId="0" fontId="41" fillId="0" borderId="0" xfId="0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3" fillId="0" borderId="0" xfId="0" applyNumberFormat="1" applyFont="1" applyAlignment="1">
      <alignment vertical="center"/>
    </xf>
    <xf numFmtId="3" fontId="0" fillId="0" borderId="0" xfId="0" applyNumberFormat="1" applyAlignment="1">
      <alignment horizontal="right"/>
    </xf>
    <xf numFmtId="3" fontId="17" fillId="0" borderId="0" xfId="0" applyNumberFormat="1" applyFont="1" applyAlignment="1">
      <alignment vertical="center"/>
    </xf>
    <xf numFmtId="166" fontId="4" fillId="3" borderId="10" xfId="0" applyNumberFormat="1" applyFont="1" applyFill="1" applyBorder="1" applyAlignment="1">
      <alignment horizontal="center" vertical="center"/>
    </xf>
    <xf numFmtId="4" fontId="42" fillId="0" borderId="0" xfId="0" applyNumberFormat="1" applyFont="1"/>
    <xf numFmtId="4" fontId="21" fillId="0" borderId="0" xfId="0" applyNumberFormat="1" applyFont="1" applyAlignment="1">
      <alignment vertical="center"/>
    </xf>
    <xf numFmtId="4" fontId="26" fillId="0" borderId="0" xfId="0" applyNumberFormat="1" applyFont="1" applyAlignment="1">
      <alignment horizontal="center" textRotation="90" wrapText="1"/>
    </xf>
    <xf numFmtId="4" fontId="38" fillId="0" borderId="0" xfId="0" applyNumberFormat="1" applyFont="1" applyAlignment="1">
      <alignment vertical="center"/>
    </xf>
    <xf numFmtId="4" fontId="39" fillId="0" borderId="0" xfId="0" applyNumberFormat="1" applyFont="1" applyAlignment="1">
      <alignment vertical="center"/>
    </xf>
    <xf numFmtId="4" fontId="21" fillId="0" borderId="0" xfId="0" applyNumberFormat="1" applyFont="1"/>
    <xf numFmtId="0" fontId="44" fillId="0" borderId="0" xfId="1" applyFont="1" applyAlignment="1">
      <alignment horizontal="center" vertical="center" textRotation="90" wrapText="1"/>
    </xf>
    <xf numFmtId="166" fontId="1" fillId="0" borderId="0" xfId="0" applyNumberFormat="1" applyFont="1" applyAlignment="1">
      <alignment vertical="center"/>
    </xf>
    <xf numFmtId="166" fontId="45" fillId="0" borderId="0" xfId="0" applyNumberFormat="1" applyFont="1" applyAlignment="1">
      <alignment vertical="center"/>
    </xf>
    <xf numFmtId="166" fontId="46" fillId="0" borderId="0" xfId="0" applyNumberFormat="1" applyFont="1" applyAlignment="1">
      <alignment vertical="center"/>
    </xf>
    <xf numFmtId="166" fontId="47" fillId="0" borderId="0" xfId="0" applyNumberFormat="1" applyFont="1" applyAlignment="1">
      <alignment vertical="center"/>
    </xf>
    <xf numFmtId="166" fontId="45" fillId="0" borderId="0" xfId="0" applyNumberFormat="1" applyFont="1"/>
    <xf numFmtId="166" fontId="48" fillId="0" borderId="0" xfId="0" applyNumberFormat="1" applyFont="1" applyAlignment="1">
      <alignment horizontal="center" textRotation="90" wrapText="1"/>
    </xf>
    <xf numFmtId="166" fontId="48" fillId="5" borderId="0" xfId="0" applyNumberFormat="1" applyFont="1" applyFill="1" applyAlignment="1">
      <alignment horizontal="center" textRotation="90" wrapText="1"/>
    </xf>
    <xf numFmtId="3" fontId="48" fillId="5" borderId="0" xfId="0" applyNumberFormat="1" applyFont="1" applyFill="1" applyAlignment="1">
      <alignment horizontal="center" textRotation="90" wrapText="1"/>
    </xf>
    <xf numFmtId="1" fontId="48" fillId="5" borderId="0" xfId="0" applyNumberFormat="1" applyFont="1" applyFill="1" applyAlignment="1">
      <alignment horizontal="center" textRotation="90" wrapText="1"/>
    </xf>
    <xf numFmtId="0" fontId="51" fillId="0" borderId="0" xfId="0" applyFont="1" applyAlignment="1">
      <alignment horizontal="center" vertical="center" wrapText="1"/>
    </xf>
    <xf numFmtId="169" fontId="51" fillId="0" borderId="0" xfId="0" applyNumberFormat="1" applyFont="1" applyAlignment="1">
      <alignment horizontal="center" vertical="center" wrapText="1"/>
    </xf>
    <xf numFmtId="169" fontId="51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169" fontId="0" fillId="0" borderId="0" xfId="0" applyNumberFormat="1" applyAlignment="1">
      <alignment horizontal="right"/>
    </xf>
    <xf numFmtId="169" fontId="0" fillId="0" borderId="0" xfId="0" applyNumberFormat="1"/>
    <xf numFmtId="0" fontId="53" fillId="0" borderId="0" xfId="0" applyFont="1" applyAlignment="1">
      <alignment horizontal="center"/>
    </xf>
    <xf numFmtId="169" fontId="0" fillId="0" borderId="0" xfId="0" applyNumberFormat="1" applyAlignment="1">
      <alignment horizontal="center"/>
    </xf>
    <xf numFmtId="169" fontId="50" fillId="0" borderId="0" xfId="0" applyNumberFormat="1" applyFont="1"/>
    <xf numFmtId="169" fontId="53" fillId="0" borderId="0" xfId="0" applyNumberFormat="1" applyFont="1" applyAlignment="1">
      <alignment horizontal="center"/>
    </xf>
    <xf numFmtId="0" fontId="54" fillId="0" borderId="0" xfId="1" applyFont="1" applyAlignment="1">
      <alignment horizontal="right" wrapText="1"/>
    </xf>
    <xf numFmtId="169" fontId="21" fillId="0" borderId="0" xfId="0" applyNumberFormat="1" applyFont="1"/>
    <xf numFmtId="169" fontId="1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69" fontId="55" fillId="0" borderId="0" xfId="0" applyNumberFormat="1" applyFont="1" applyAlignment="1">
      <alignment horizontal="center" vertical="center" wrapText="1"/>
    </xf>
    <xf numFmtId="170" fontId="0" fillId="0" borderId="0" xfId="0" applyNumberFormat="1" applyAlignment="1">
      <alignment vertical="center"/>
    </xf>
    <xf numFmtId="170" fontId="28" fillId="0" borderId="0" xfId="0" applyNumberFormat="1" applyFont="1" applyAlignment="1">
      <alignment horizontal="center" textRotation="90" wrapText="1"/>
    </xf>
    <xf numFmtId="170" fontId="10" fillId="0" borderId="0" xfId="0" applyNumberFormat="1" applyFont="1" applyAlignment="1">
      <alignment vertical="center"/>
    </xf>
    <xf numFmtId="170" fontId="8" fillId="0" borderId="0" xfId="0" applyNumberFormat="1" applyFont="1" applyAlignment="1">
      <alignment vertical="center"/>
    </xf>
    <xf numFmtId="170" fontId="0" fillId="0" borderId="0" xfId="0" applyNumberFormat="1"/>
    <xf numFmtId="170" fontId="5" fillId="0" borderId="0" xfId="0" applyNumberFormat="1" applyFont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29" fillId="6" borderId="0" xfId="1" applyFont="1" applyFill="1" applyAlignment="1">
      <alignment horizontal="center" vertical="center" textRotation="90" wrapText="1"/>
    </xf>
    <xf numFmtId="3" fontId="28" fillId="6" borderId="0" xfId="0" applyNumberFormat="1" applyFont="1" applyFill="1" applyAlignment="1">
      <alignment horizontal="center" textRotation="90" wrapText="1"/>
    </xf>
    <xf numFmtId="0" fontId="28" fillId="6" borderId="0" xfId="0" applyFont="1" applyFill="1" applyAlignment="1">
      <alignment horizontal="center" textRotation="90" wrapText="1"/>
    </xf>
    <xf numFmtId="3" fontId="1" fillId="0" borderId="0" xfId="0" applyNumberFormat="1" applyFont="1" applyAlignment="1">
      <alignment vertical="center"/>
    </xf>
    <xf numFmtId="169" fontId="61" fillId="0" borderId="0" xfId="0" applyNumberFormat="1" applyFont="1" applyAlignment="1">
      <alignment horizontal="center"/>
    </xf>
    <xf numFmtId="0" fontId="61" fillId="0" borderId="0" xfId="0" applyFont="1"/>
    <xf numFmtId="3" fontId="60" fillId="0" borderId="0" xfId="0" applyNumberFormat="1" applyFont="1"/>
    <xf numFmtId="3" fontId="61" fillId="0" borderId="0" xfId="0" applyNumberFormat="1" applyFont="1"/>
    <xf numFmtId="3" fontId="59" fillId="3" borderId="0" xfId="0" applyNumberFormat="1" applyFont="1" applyFill="1" applyAlignment="1">
      <alignment horizontal="center" vertical="center" wrapText="1"/>
    </xf>
    <xf numFmtId="169" fontId="59" fillId="3" borderId="0" xfId="0" applyNumberFormat="1" applyFont="1" applyFill="1" applyAlignment="1">
      <alignment horizontal="center" vertical="center" wrapText="1"/>
    </xf>
    <xf numFmtId="0" fontId="51" fillId="3" borderId="0" xfId="0" applyFont="1" applyFill="1" applyAlignment="1">
      <alignment horizontal="center" vertical="center" wrapText="1"/>
    </xf>
    <xf numFmtId="169" fontId="60" fillId="0" borderId="0" xfId="0" applyNumberFormat="1" applyFont="1"/>
    <xf numFmtId="0" fontId="64" fillId="0" borderId="0" xfId="0" applyFont="1"/>
    <xf numFmtId="167" fontId="0" fillId="0" borderId="0" xfId="0" applyNumberFormat="1" applyAlignment="1">
      <alignment vertical="center"/>
    </xf>
    <xf numFmtId="167" fontId="25" fillId="0" borderId="0" xfId="0" applyNumberFormat="1" applyFont="1" applyAlignment="1">
      <alignment horizontal="center" textRotation="90" wrapText="1"/>
    </xf>
    <xf numFmtId="167" fontId="10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0" fillId="0" borderId="0" xfId="0" applyNumberFormat="1"/>
    <xf numFmtId="167" fontId="5" fillId="0" borderId="0" xfId="0" applyNumberFormat="1" applyFont="1"/>
    <xf numFmtId="0" fontId="0" fillId="3" borderId="0" xfId="0" applyFill="1"/>
    <xf numFmtId="0" fontId="13" fillId="4" borderId="0" xfId="0" applyFont="1" applyFill="1" applyAlignment="1">
      <alignment horizontal="left" vertical="center"/>
    </xf>
    <xf numFmtId="3" fontId="43" fillId="4" borderId="0" xfId="0" applyNumberFormat="1" applyFont="1" applyFill="1" applyAlignment="1">
      <alignment horizontal="left" vertical="center"/>
    </xf>
    <xf numFmtId="3" fontId="32" fillId="3" borderId="0" xfId="0" applyNumberFormat="1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56" fillId="0" borderId="0" xfId="0" applyFont="1" applyAlignment="1">
      <alignment horizontal="left"/>
    </xf>
  </cellXfs>
  <cellStyles count="2">
    <cellStyle name="Normal" xfId="0" builtinId="0"/>
    <cellStyle name="Normalny_Arkusz5" xfId="1" xr:uid="{00000000-0005-0000-0000-000001000000}"/>
  </cellStyles>
  <dxfs count="0"/>
  <tableStyles count="0" defaultTableStyle="TableStyleMedium2" defaultPivotStyle="PivotStyleLight16"/>
  <colors>
    <mruColors>
      <color rgb="FFFFFF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3">
    <tabColor indexed="48"/>
  </sheetPr>
  <dimension ref="A1:E21"/>
  <sheetViews>
    <sheetView topLeftCell="A7" workbookViewId="0">
      <selection activeCell="B18" sqref="B18"/>
    </sheetView>
  </sheetViews>
  <sheetFormatPr defaultRowHeight="12.75" x14ac:dyDescent="0.2"/>
  <cols>
    <col min="1" max="1" width="26.28515625" customWidth="1"/>
    <col min="2" max="2" width="15.28515625" style="3" customWidth="1"/>
    <col min="3" max="3" width="14.28515625" style="3" customWidth="1"/>
    <col min="4" max="5" width="10.140625" hidden="1" customWidth="1"/>
  </cols>
  <sheetData>
    <row r="1" spans="1:5" ht="18" customHeight="1" x14ac:dyDescent="0.2">
      <c r="A1" s="17"/>
      <c r="B1" s="45"/>
      <c r="C1" s="46" t="s">
        <v>6</v>
      </c>
      <c r="D1" t="s">
        <v>4</v>
      </c>
      <c r="E1" t="s">
        <v>5</v>
      </c>
    </row>
    <row r="2" spans="1:5" ht="15.75" x14ac:dyDescent="0.25">
      <c r="A2" s="18" t="s">
        <v>271</v>
      </c>
      <c r="B2" s="19">
        <v>42653</v>
      </c>
      <c r="C2" s="47">
        <f ca="1">TODAY()</f>
        <v>45858</v>
      </c>
      <c r="D2">
        <f ca="1">C2-B2</f>
        <v>3205</v>
      </c>
      <c r="E2" s="1">
        <f ca="1">D2/365.242199</f>
        <v>8.7749991889628269</v>
      </c>
    </row>
    <row r="3" spans="1:5" ht="15.75" x14ac:dyDescent="0.25">
      <c r="A3" s="18" t="s">
        <v>257</v>
      </c>
      <c r="B3" s="20">
        <v>1000</v>
      </c>
      <c r="C3" s="48"/>
    </row>
    <row r="4" spans="1:5" ht="15.75" x14ac:dyDescent="0.25">
      <c r="A4" s="18" t="s">
        <v>270</v>
      </c>
      <c r="B4" s="20" t="s">
        <v>2</v>
      </c>
      <c r="C4" s="48"/>
    </row>
    <row r="5" spans="1:5" ht="15.75" x14ac:dyDescent="0.25">
      <c r="A5" s="18" t="s">
        <v>272</v>
      </c>
      <c r="B5" s="21">
        <f ca="1">B3*EXP(-(LN(2)*E2/VLOOKUP(B4,'D-Value_A1_A2_Exempted'!A2:S372,19,FALSE)))</f>
        <v>315.32572206644073</v>
      </c>
      <c r="C5" s="48"/>
    </row>
    <row r="6" spans="1:5" ht="13.5" thickBot="1" x14ac:dyDescent="0.25">
      <c r="A6" s="22" t="s">
        <v>280</v>
      </c>
      <c r="B6" s="23">
        <f>VLOOKUP(B4,'D-Value_A1_A2_Exempted'!A2:S372,19,FALSE)</f>
        <v>5.27</v>
      </c>
      <c r="C6" s="49"/>
    </row>
    <row r="7" spans="1:5" x14ac:dyDescent="0.2">
      <c r="A7" s="15"/>
      <c r="B7" s="16"/>
    </row>
    <row r="8" spans="1:5" ht="13.5" thickBot="1" x14ac:dyDescent="0.25"/>
    <row r="9" spans="1:5" s="44" customFormat="1" ht="38.25" x14ac:dyDescent="0.2">
      <c r="A9" s="42"/>
      <c r="B9" s="43" t="s">
        <v>298</v>
      </c>
      <c r="C9" s="50" t="s">
        <v>278</v>
      </c>
      <c r="D9" s="44" t="s">
        <v>4</v>
      </c>
      <c r="E9" s="44" t="s">
        <v>5</v>
      </c>
    </row>
    <row r="10" spans="1:5" ht="15.75" x14ac:dyDescent="0.25">
      <c r="A10" s="18" t="s">
        <v>299</v>
      </c>
      <c r="B10" s="19">
        <v>43396</v>
      </c>
      <c r="C10" s="51">
        <v>44028</v>
      </c>
      <c r="D10">
        <f>C10-B10</f>
        <v>632</v>
      </c>
      <c r="E10" s="1">
        <f>D10/365.242199</f>
        <v>1.730358654422623</v>
      </c>
    </row>
    <row r="11" spans="1:5" ht="15.75" x14ac:dyDescent="0.25">
      <c r="A11" s="18" t="s">
        <v>257</v>
      </c>
      <c r="B11" s="20">
        <v>88.8</v>
      </c>
      <c r="C11" s="48"/>
    </row>
    <row r="12" spans="1:5" ht="15.75" x14ac:dyDescent="0.25">
      <c r="A12" s="18" t="s">
        <v>270</v>
      </c>
      <c r="B12" s="20" t="s">
        <v>305</v>
      </c>
      <c r="C12" s="48"/>
    </row>
    <row r="13" spans="1:5" ht="15.75" x14ac:dyDescent="0.25">
      <c r="A13" s="18" t="s">
        <v>277</v>
      </c>
      <c r="B13" s="21">
        <f>B11*EXP(-(LN(2)*E10/VLOOKUP(B12,'D-Value_A1_A2_Exempted'!A2:S372,19,FALSE)))</f>
        <v>19.400157463372246</v>
      </c>
      <c r="C13" s="48"/>
    </row>
    <row r="14" spans="1:5" ht="13.5" thickBot="1" x14ac:dyDescent="0.25">
      <c r="A14" s="22" t="s">
        <v>280</v>
      </c>
      <c r="B14" s="24">
        <f>VLOOKUP(B12,'D-Value_A1_A2_Exempted'!A2:S372,19,FALSE)</f>
        <v>0.78850102669404498</v>
      </c>
      <c r="C14" s="49"/>
    </row>
    <row r="16" spans="1:5" ht="13.5" thickBot="1" x14ac:dyDescent="0.25"/>
    <row r="17" spans="1:5" ht="15.75" x14ac:dyDescent="0.25">
      <c r="A17" s="25" t="s">
        <v>281</v>
      </c>
      <c r="B17" s="26">
        <v>3</v>
      </c>
      <c r="C17" s="52"/>
      <c r="E17" s="1"/>
    </row>
    <row r="18" spans="1:5" ht="15.75" x14ac:dyDescent="0.25">
      <c r="A18" s="18" t="s">
        <v>257</v>
      </c>
      <c r="B18" s="27">
        <v>1020</v>
      </c>
    </row>
    <row r="19" spans="1:5" ht="15.75" x14ac:dyDescent="0.25">
      <c r="A19" s="18" t="s">
        <v>270</v>
      </c>
      <c r="B19" s="27" t="s">
        <v>41</v>
      </c>
    </row>
    <row r="20" spans="1:5" ht="15.75" x14ac:dyDescent="0.25">
      <c r="A20" s="18" t="s">
        <v>273</v>
      </c>
      <c r="B20" s="28">
        <f>B18*EXP(-(LN(2)*B17/VLOOKUP(B19,'D-Value_A1_A2_Exempted'!A2:S372,19,FALSE)))</f>
        <v>999.00870353866537</v>
      </c>
    </row>
    <row r="21" spans="1:5" ht="13.5" thickBot="1" x14ac:dyDescent="0.25">
      <c r="A21" s="22" t="s">
        <v>280</v>
      </c>
      <c r="B21" s="29">
        <f>VLOOKUP(B19,'D-Value_A1_A2_Exempted'!A2:S372,19,FALSE)</f>
        <v>100</v>
      </c>
    </row>
  </sheetData>
  <phoneticPr fontId="2" type="noConversion"/>
  <dataValidations count="1">
    <dataValidation type="list" allowBlank="1" showInputMessage="1" showErrorMessage="1" sqref="L12:L18" xr:uid="{00000000-0002-0000-0000-000000000000}">
      <formula1>#REF!</formula1>
    </dataValidation>
  </dataValidations>
  <printOptions gridLines="1"/>
  <pageMargins left="0.75" right="0.75" top="1" bottom="1" header="0.5" footer="0.5"/>
  <pageSetup paperSize="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'D-Value_A1_A2_Exempted'!$A$2:$A$372</xm:f>
          </x14:formula1>
          <xm:sqref>B12 B19 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57"/>
  </sheetPr>
  <dimension ref="A1:BN60"/>
  <sheetViews>
    <sheetView zoomScale="90" zoomScaleNormal="90" workbookViewId="0">
      <pane ySplit="2" topLeftCell="A3" activePane="bottomLeft" state="frozen"/>
      <selection pane="bottomLeft" activeCell="K27" sqref="K27"/>
    </sheetView>
  </sheetViews>
  <sheetFormatPr defaultRowHeight="12.75" x14ac:dyDescent="0.2"/>
  <cols>
    <col min="1" max="1" width="9.5703125" customWidth="1"/>
    <col min="2" max="2" width="12.42578125" style="133" customWidth="1"/>
    <col min="3" max="3" width="10.28515625" customWidth="1"/>
    <col min="4" max="4" width="7.140625" style="3" customWidth="1"/>
    <col min="5" max="6" width="3.7109375" style="7" customWidth="1"/>
    <col min="7" max="7" width="10.7109375" style="9" customWidth="1"/>
    <col min="8" max="8" width="11.28515625" style="79" customWidth="1"/>
    <col min="9" max="10" width="12" style="9" customWidth="1"/>
    <col min="11" max="11" width="10.42578125" style="79" customWidth="1"/>
    <col min="12" max="12" width="10.5703125" style="121" customWidth="1"/>
    <col min="13" max="13" width="12.85546875" style="79" customWidth="1"/>
    <col min="14" max="20" width="12.85546875" style="147" customWidth="1"/>
    <col min="21" max="23" width="10.7109375" style="9" customWidth="1"/>
    <col min="24" max="25" width="8.7109375" style="194" customWidth="1"/>
    <col min="26" max="26" width="6.140625" style="9" customWidth="1"/>
    <col min="27" max="29" width="6.7109375" style="9" customWidth="1"/>
    <col min="30" max="31" width="8.42578125" style="9" customWidth="1"/>
    <col min="32" max="32" width="5.7109375" style="9" customWidth="1"/>
    <col min="33" max="33" width="7.28515625" style="9" customWidth="1"/>
    <col min="34" max="34" width="10.140625" style="9" customWidth="1"/>
    <col min="35" max="35" width="10.42578125" style="9" customWidth="1"/>
    <col min="36" max="37" width="8.42578125" style="171" customWidth="1"/>
    <col min="38" max="39" width="11.5703125" style="112" customWidth="1"/>
    <col min="40" max="40" width="11.5703125" style="116" customWidth="1"/>
    <col min="41" max="41" width="11.5703125" style="141" customWidth="1"/>
    <col min="42" max="43" width="11.5703125" style="102" customWidth="1"/>
    <col min="44" max="44" width="11.5703125" style="107" customWidth="1"/>
    <col min="45" max="45" width="11.5703125" style="129" customWidth="1"/>
    <col min="46" max="46" width="11.5703125" style="9" customWidth="1"/>
    <col min="47" max="48" width="11.5703125" style="9" hidden="1" customWidth="1"/>
    <col min="49" max="49" width="9.28515625" style="9" hidden="1" customWidth="1"/>
    <col min="50" max="50" width="11" style="14" hidden="1" customWidth="1"/>
    <col min="51" max="51" width="9.140625" style="9" hidden="1" customWidth="1"/>
    <col min="52" max="52" width="17.140625" style="11" hidden="1" customWidth="1"/>
    <col min="53" max="53" width="6.5703125" style="11" hidden="1" customWidth="1"/>
    <col min="54" max="54" width="8.7109375" style="7" hidden="1" customWidth="1"/>
    <col min="55" max="55" width="3.5703125" hidden="1" customWidth="1"/>
    <col min="56" max="56" width="3.42578125" hidden="1" customWidth="1"/>
    <col min="57" max="57" width="3.5703125" hidden="1" customWidth="1"/>
    <col min="58" max="58" width="4" hidden="1" customWidth="1"/>
    <col min="59" max="59" width="3.28515625" hidden="1" customWidth="1"/>
    <col min="60" max="60" width="10.7109375" hidden="1" customWidth="1"/>
    <col min="61" max="61" width="11.42578125" hidden="1" customWidth="1"/>
    <col min="62" max="62" width="7.85546875" style="33" hidden="1" customWidth="1"/>
    <col min="63" max="63" width="9" style="31" hidden="1" customWidth="1"/>
    <col min="64" max="64" width="10.140625" style="31" hidden="1" customWidth="1"/>
    <col min="65" max="65" width="12.28515625" style="31" hidden="1" customWidth="1"/>
    <col min="66" max="66" width="11.42578125" hidden="1" customWidth="1"/>
  </cols>
  <sheetData>
    <row r="1" spans="1:66" s="4" customFormat="1" ht="21.75" customHeight="1" thickBot="1" x14ac:dyDescent="0.25">
      <c r="A1" s="58" t="s">
        <v>274</v>
      </c>
      <c r="B1" s="135">
        <v>10</v>
      </c>
      <c r="D1" s="173"/>
      <c r="E1" s="6"/>
      <c r="F1" s="6"/>
      <c r="G1" s="8"/>
      <c r="H1" s="5"/>
      <c r="I1" s="8"/>
      <c r="J1" s="8"/>
      <c r="K1" s="5"/>
      <c r="L1" s="117"/>
      <c r="M1" s="5"/>
      <c r="N1" s="144"/>
      <c r="O1" s="144"/>
      <c r="P1" s="144"/>
      <c r="Q1" s="144"/>
      <c r="R1" s="144"/>
      <c r="S1" s="144"/>
      <c r="T1" s="144"/>
      <c r="U1" s="8"/>
      <c r="V1" s="8"/>
      <c r="W1" s="8"/>
      <c r="X1" s="190"/>
      <c r="Y1" s="190"/>
      <c r="Z1" s="8"/>
      <c r="AA1" s="8"/>
      <c r="AB1" s="8"/>
      <c r="AC1" s="8"/>
      <c r="AD1" s="8"/>
      <c r="AE1" s="8"/>
      <c r="AF1" s="8"/>
      <c r="AG1" s="8"/>
      <c r="AH1" s="8"/>
      <c r="AI1" s="8"/>
      <c r="AJ1" s="167"/>
      <c r="AK1" s="167"/>
      <c r="AL1" s="109"/>
      <c r="AM1" s="109"/>
      <c r="AN1" s="113"/>
      <c r="AO1" s="137"/>
      <c r="AP1" s="97"/>
      <c r="AQ1" s="97"/>
      <c r="AR1" s="104"/>
      <c r="AS1" s="125"/>
      <c r="AT1" s="8"/>
      <c r="AU1" s="8"/>
      <c r="AV1" s="8"/>
      <c r="AW1" s="8"/>
      <c r="AX1" s="13"/>
      <c r="AY1" s="8"/>
      <c r="AZ1" s="12"/>
      <c r="BA1" s="12"/>
      <c r="BB1" s="6"/>
      <c r="BJ1" s="32"/>
      <c r="BK1" s="30"/>
      <c r="BL1" s="30"/>
      <c r="BM1" s="30"/>
    </row>
    <row r="2" spans="1:66" s="77" customFormat="1" ht="78.75" customHeight="1" x14ac:dyDescent="0.25">
      <c r="A2" s="59" t="s">
        <v>270</v>
      </c>
      <c r="B2" s="60" t="s">
        <v>304</v>
      </c>
      <c r="C2" s="76" t="s">
        <v>269</v>
      </c>
      <c r="D2" s="177" t="s">
        <v>466</v>
      </c>
      <c r="E2" s="142" t="s">
        <v>334</v>
      </c>
      <c r="F2" s="142" t="s">
        <v>335</v>
      </c>
      <c r="G2" s="78" t="s">
        <v>319</v>
      </c>
      <c r="H2" s="64" t="s">
        <v>307</v>
      </c>
      <c r="I2" s="63" t="s">
        <v>308</v>
      </c>
      <c r="J2" s="63" t="s">
        <v>325</v>
      </c>
      <c r="K2" s="64" t="s">
        <v>275</v>
      </c>
      <c r="L2" s="118" t="s">
        <v>309</v>
      </c>
      <c r="M2" s="64" t="s">
        <v>324</v>
      </c>
      <c r="N2" s="148" t="s">
        <v>336</v>
      </c>
      <c r="O2" s="148" t="s">
        <v>337</v>
      </c>
      <c r="P2" s="148" t="s">
        <v>338</v>
      </c>
      <c r="Q2" s="149" t="s">
        <v>339</v>
      </c>
      <c r="R2" s="149" t="s">
        <v>340</v>
      </c>
      <c r="S2" s="150" t="s">
        <v>341</v>
      </c>
      <c r="T2" s="151" t="s">
        <v>342</v>
      </c>
      <c r="U2" s="65" t="s">
        <v>310</v>
      </c>
      <c r="V2" s="65" t="s">
        <v>311</v>
      </c>
      <c r="W2" s="65" t="s">
        <v>312</v>
      </c>
      <c r="X2" s="191" t="s">
        <v>313</v>
      </c>
      <c r="Y2" s="191" t="s">
        <v>314</v>
      </c>
      <c r="Z2" s="96" t="s">
        <v>322</v>
      </c>
      <c r="AA2" s="96" t="s">
        <v>323</v>
      </c>
      <c r="AB2" s="178" t="s">
        <v>315</v>
      </c>
      <c r="AC2" s="179" t="s">
        <v>316</v>
      </c>
      <c r="AD2" s="66" t="s">
        <v>467</v>
      </c>
      <c r="AE2" s="67" t="s">
        <v>468</v>
      </c>
      <c r="AF2" s="68" t="s">
        <v>275</v>
      </c>
      <c r="AG2" s="68" t="s">
        <v>309</v>
      </c>
      <c r="AH2" s="69" t="s">
        <v>317</v>
      </c>
      <c r="AI2" s="70" t="s">
        <v>333</v>
      </c>
      <c r="AJ2" s="168" t="s">
        <v>275</v>
      </c>
      <c r="AK2" s="168" t="s">
        <v>318</v>
      </c>
      <c r="AL2" s="66" t="s">
        <v>327</v>
      </c>
      <c r="AM2" s="67" t="s">
        <v>328</v>
      </c>
      <c r="AN2" s="108" t="s">
        <v>275</v>
      </c>
      <c r="AO2" s="138" t="s">
        <v>329</v>
      </c>
      <c r="AP2" s="98" t="s">
        <v>327</v>
      </c>
      <c r="AQ2" s="99" t="s">
        <v>332</v>
      </c>
      <c r="AR2" s="103" t="s">
        <v>275</v>
      </c>
      <c r="AS2" s="126" t="s">
        <v>329</v>
      </c>
      <c r="AT2" s="64"/>
      <c r="AU2" s="60"/>
      <c r="AV2" s="60" t="s">
        <v>279</v>
      </c>
      <c r="AW2" s="61" t="s">
        <v>292</v>
      </c>
      <c r="AX2" s="60" t="s">
        <v>293</v>
      </c>
      <c r="AY2" s="71"/>
      <c r="AZ2" s="62" t="s">
        <v>306</v>
      </c>
      <c r="BA2" s="72"/>
      <c r="BB2" s="59"/>
      <c r="BC2" s="59" t="s">
        <v>282</v>
      </c>
      <c r="BD2" s="59" t="s">
        <v>283</v>
      </c>
      <c r="BE2" s="59" t="s">
        <v>284</v>
      </c>
      <c r="BF2" s="59" t="s">
        <v>285</v>
      </c>
      <c r="BG2" s="73" t="s">
        <v>286</v>
      </c>
      <c r="BH2" s="59" t="s">
        <v>288</v>
      </c>
      <c r="BI2" s="74" t="s">
        <v>289</v>
      </c>
      <c r="BJ2" s="75" t="s">
        <v>295</v>
      </c>
      <c r="BK2" s="75" t="s">
        <v>303</v>
      </c>
      <c r="BL2" s="75" t="s">
        <v>296</v>
      </c>
      <c r="BM2" s="71"/>
    </row>
    <row r="3" spans="1:66" s="4" customFormat="1" x14ac:dyDescent="0.2">
      <c r="A3" s="4" t="s">
        <v>77</v>
      </c>
      <c r="B3" s="136"/>
      <c r="C3" s="4">
        <f>IF(A3="","",VLOOKUP(A3,'D-Value_A1_A2_Exempted'!$A$2:$S$372,19,FALSE))</f>
        <v>7.5290896646133003E-3</v>
      </c>
      <c r="D3" s="173" t="str">
        <f>IF(OR(A3="Am-241",A3="Am-241-Be",A3="Am-242",A3="Am-242",A3="Bi-209",A3="Bi-211",A3="Bi-212",A3="Bi-213",A3="Cf-242",A3="Cm-244",A3="Np-237",A3="Po-210",A3="Pu-238",A3="Pu-239",A3="Ra-226",A3="Th-232",A3="Th-230",A3="U-233",A3="U-234",A3="U-235",A3="U-236",A3="U-238"),"Alpha","")</f>
        <v/>
      </c>
      <c r="E3" s="6" t="str">
        <f t="shared" ref="E3:E8" si="0">IF(OR(A3="Am-241",A3="Am-241-Be",A3="Am-242",A3="Am-242",A3="Pu-238",A3="Pu-239",A3="Ra-226",A3="Th-232",A3="Th-230",A3="U-233",A3="U-234",A3="U-235",A3="U-236",A3="U-238"),"L","")</f>
        <v/>
      </c>
      <c r="F3" s="6" t="str">
        <f t="shared" ref="F3:F4" si="1">IF(OR(A3="C-14",A3="Cl-36",A3="Ni-63"),"LB","")</f>
        <v/>
      </c>
      <c r="G3" s="84">
        <f>IF(A3="","",VLOOKUP(A3,'D-Value_A1_A2_Exempted'!$A$2:$S$372,17,FALSE))</f>
        <v>100</v>
      </c>
      <c r="H3" s="5">
        <f>IF(A3="","",B3/$B$1*1000)</f>
        <v>0</v>
      </c>
      <c r="I3" s="8">
        <f>H3</f>
        <v>0</v>
      </c>
      <c r="J3" s="8">
        <f>IF(Z3=1,H3,0)</f>
        <v>0</v>
      </c>
      <c r="K3" s="5">
        <f>H3/G3</f>
        <v>0</v>
      </c>
      <c r="L3" s="117">
        <f>K3</f>
        <v>0</v>
      </c>
      <c r="M3" s="5">
        <f>IF(Z3=0,K3,0)</f>
        <v>0</v>
      </c>
      <c r="N3" s="143">
        <f t="shared" ref="N3:N4" si="2">IF(A3="","",IF(OR(A3="H-3",A3="C-14"),B3/$B$1*100,B3/$B$1*1000))</f>
        <v>0</v>
      </c>
      <c r="O3" s="143">
        <f>N3</f>
        <v>0</v>
      </c>
      <c r="P3" s="143">
        <f>IF(Z3=1,N3,0)</f>
        <v>0</v>
      </c>
      <c r="Q3" s="143">
        <f>IF(OR(A3="H-3",A3="C-14"),0,IF(Z3=0,0,B3/$B$1*1000))</f>
        <v>0</v>
      </c>
      <c r="R3" s="143">
        <f>Q3</f>
        <v>0</v>
      </c>
      <c r="S3" s="143">
        <f>IF(OR(A3="H-3",A3="C-14"),IF(B3/$B$1*1000&lt;1000,0,1),0)</f>
        <v>0</v>
      </c>
      <c r="T3" s="143">
        <f>S3</f>
        <v>0</v>
      </c>
      <c r="U3" s="8">
        <f t="shared" ref="U3:U8" si="3">B3*EXP(-(LN(2)*3/C3))*1000</f>
        <v>0</v>
      </c>
      <c r="V3" s="82" t="str">
        <f t="shared" ref="V3:V40" si="4">IF(B3="","0",U3/$B$1)</f>
        <v>0</v>
      </c>
      <c r="W3" s="82" t="str">
        <f>V3</f>
        <v>0</v>
      </c>
      <c r="X3" s="190">
        <f t="shared" ref="X3:X40" si="5">V3/G3</f>
        <v>0</v>
      </c>
      <c r="Y3" s="190">
        <f>X3</f>
        <v>0</v>
      </c>
      <c r="Z3" s="8">
        <f t="shared" ref="Z3:Z37" si="6">IF(B3="",0,IF(C3&gt;100/365,1,0))</f>
        <v>0</v>
      </c>
      <c r="AA3" s="8">
        <f>Z3</f>
        <v>0</v>
      </c>
      <c r="AB3" s="8">
        <f>IF(D3="Alpha",H3,0)</f>
        <v>0</v>
      </c>
      <c r="AC3" s="180">
        <f>AB3</f>
        <v>0</v>
      </c>
      <c r="AD3" s="8">
        <f t="shared" ref="AD3:AD37" si="7">IF(E3="L",H3,0)</f>
        <v>0</v>
      </c>
      <c r="AE3" s="8">
        <f>AD3</f>
        <v>0</v>
      </c>
      <c r="AF3" s="8">
        <f t="shared" ref="AF3:AF37" si="8">AD3/G3</f>
        <v>0</v>
      </c>
      <c r="AG3" s="8">
        <f>AF3</f>
        <v>0</v>
      </c>
      <c r="AH3" s="8">
        <f t="shared" ref="AH3:AH4" si="9">IF(F3="LB",H3,0)</f>
        <v>0</v>
      </c>
      <c r="AI3" s="8">
        <f>AH3</f>
        <v>0</v>
      </c>
      <c r="AJ3" s="167">
        <f t="shared" ref="AJ3:AJ37" si="10">AH3/G3</f>
        <v>0</v>
      </c>
      <c r="AK3" s="167">
        <f>AJ3</f>
        <v>0</v>
      </c>
      <c r="AL3" s="109">
        <f t="shared" ref="AL3:AL37" si="11">IF(AND(C3&gt;30.2,K3&gt;=1),H3,0)</f>
        <v>0</v>
      </c>
      <c r="AM3" s="109">
        <f>AL3</f>
        <v>0</v>
      </c>
      <c r="AN3" s="113">
        <f t="shared" ref="AN3:AN37" si="12">IF(AL3=0,0,AL3/G3)</f>
        <v>0</v>
      </c>
      <c r="AO3" s="137">
        <f>AN3</f>
        <v>0</v>
      </c>
      <c r="AP3" s="97">
        <f t="shared" ref="AP3:AP37" si="13">IF(C3&gt;30.2,H3,0)</f>
        <v>0</v>
      </c>
      <c r="AQ3" s="97">
        <f>AP3</f>
        <v>0</v>
      </c>
      <c r="AR3" s="104">
        <f t="shared" ref="AR3:AR40" si="14">IF(AP3=0,0,AP3/G3)</f>
        <v>0</v>
      </c>
      <c r="AS3" s="125">
        <f>AR3</f>
        <v>0</v>
      </c>
      <c r="AT3" s="8"/>
      <c r="AU3" s="8"/>
      <c r="AV3" s="8"/>
      <c r="AW3" s="82" t="str">
        <f t="shared" ref="AW3:AW9" si="15">IF(A3="","",IF(E3="L",H3,""))</f>
        <v/>
      </c>
      <c r="AX3" s="13" t="e">
        <f>IF(A3="","",B3*EXP(-(0.693*3/VLOOKUP(A3,#REF!,2,FALSE))))</f>
        <v>#REF!</v>
      </c>
      <c r="AY3" s="8" t="e">
        <f t="shared" ref="AY3:AY9" si="16">IF(A3="","",AX3/$B$1*1000)</f>
        <v>#REF!</v>
      </c>
      <c r="AZ3" s="12" t="str">
        <f t="shared" ref="AZ3:AZ9" si="17">IF(A3="","",IF(H3&lt;=G3," to nie jest odpad !!!",IF(AND(C3&gt;30.2,H3&gt;400)," długożyciowy",IF(AY3&gt;G3," krótkożyciowy"," przejściowy"))))</f>
        <v xml:space="preserve"> to nie jest odpad !!!</v>
      </c>
      <c r="BA3" s="12" t="e">
        <f>IF(A3="","",VLOOKUP(A3,#REF!,8,FALSE))</f>
        <v>#REF!</v>
      </c>
      <c r="BB3" s="6" t="e">
        <f t="shared" ref="BB3:BB9" si="18">IF(H3&lt;BA3,"cleared","")</f>
        <v>#REF!</v>
      </c>
      <c r="BC3" s="4">
        <f t="shared" ref="BC3:BC9" si="19">IF(A3&lt;&gt;"",1,"")</f>
        <v>1</v>
      </c>
      <c r="BD3" s="4">
        <f t="shared" ref="BD3:BD40" si="20">IF(AZ3=" to nie jest odpad !!!",1,"")</f>
        <v>1</v>
      </c>
      <c r="BE3" s="4" t="str">
        <f t="shared" ref="BE3:BE40" si="21">IF(AZ3=" przejściowy",1,"")</f>
        <v/>
      </c>
      <c r="BF3" s="4" t="str">
        <f t="shared" ref="BF3:BF40" si="22">IF(AZ3=" krótkożyciowy",1,"")</f>
        <v/>
      </c>
      <c r="BG3" s="4" t="str">
        <f t="shared" ref="BG3:BG40" si="23">IF(AZ3=" długożyciowy",1,"")</f>
        <v/>
      </c>
      <c r="BH3" s="4" t="e">
        <f>IF(A3="","",VLOOKUP(A3,#REF!,11,FALSE))</f>
        <v>#REF!</v>
      </c>
      <c r="BI3" s="4" t="e">
        <f t="shared" ref="BI3:BI9" si="24">IF(A3="","",B3*1000000*BH3)</f>
        <v>#REF!</v>
      </c>
      <c r="BJ3" s="32" t="e">
        <f t="shared" ref="BJ3:BJ9" si="25">IF(A3="","",BI3*1000000)</f>
        <v>#REF!</v>
      </c>
      <c r="BK3" s="30" t="e">
        <f t="shared" ref="BK3:BK9" si="26">IF(A3="","",BI3*16*1000)</f>
        <v>#REF!</v>
      </c>
      <c r="BL3" s="30" t="e">
        <f t="shared" ref="BL3:BL9" si="27">IF(A3="","",BI3*10000*10)</f>
        <v>#REF!</v>
      </c>
      <c r="BM3" s="30" t="e">
        <f t="shared" ref="BM3:BM9" si="28">IF(A3="","",BI3*10000*1000)</f>
        <v>#REF!</v>
      </c>
      <c r="BN3" s="4" t="e">
        <f>VLOOKUP(A3,#REF!,11,FALSE)</f>
        <v>#REF!</v>
      </c>
    </row>
    <row r="4" spans="1:66" s="4" customFormat="1" x14ac:dyDescent="0.2">
      <c r="A4" s="4" t="s">
        <v>101</v>
      </c>
      <c r="B4" s="136"/>
      <c r="C4" s="4">
        <f>IF(A4="","",VLOOKUP(A4,'D-Value_A1_A2_Exempted'!$A$2:$S$372,19,FALSE))</f>
        <v>2.77</v>
      </c>
      <c r="D4" s="173" t="str">
        <f t="shared" ref="D4:D40" si="29">IF(OR(A4="Am-241",A4="Am-241-Be",A4="Am-242",A4="Am-242",A4="Bi-209",A4="Bi-211",A4="Bi-212",A4="Bi-213",A4="Cf-242",A4="Cm-244",A4="Np-237",A4="Po-210",A4="Pu-238",A4="Pu-239",A4="Ra-226",A4="Th-232",A4="Th-230",A4="U-233",A4="U-234",A4="U-235",A4="U-236",A4="U-238"),"Alpha","")</f>
        <v/>
      </c>
      <c r="E4" s="6" t="str">
        <f t="shared" si="0"/>
        <v/>
      </c>
      <c r="F4" s="6" t="str">
        <f t="shared" si="1"/>
        <v/>
      </c>
      <c r="G4" s="84">
        <f>IF(A4="","",VLOOKUP(A4,'D-Value_A1_A2_Exempted'!$A$2:$S$372,17,FALSE))</f>
        <v>100</v>
      </c>
      <c r="H4" s="5">
        <f t="shared" ref="H4:H40" si="30">IF(A4="","",B4/$B$1*1000)</f>
        <v>0</v>
      </c>
      <c r="I4" s="8">
        <f>H4+I3</f>
        <v>0</v>
      </c>
      <c r="J4" s="8">
        <f t="shared" ref="J4:J40" si="31">IF(Z4=1,J3+H4,J3)</f>
        <v>0</v>
      </c>
      <c r="K4" s="5">
        <f t="shared" ref="K4:K40" si="32">H4/G4</f>
        <v>0</v>
      </c>
      <c r="L4" s="117">
        <f>K4+L3</f>
        <v>0</v>
      </c>
      <c r="M4" s="5">
        <f t="shared" ref="M4:M40" si="33">IF(Z4=1,K4+M3,M3)</f>
        <v>0</v>
      </c>
      <c r="N4" s="143">
        <f t="shared" si="2"/>
        <v>0</v>
      </c>
      <c r="O4" s="143">
        <f>N4+O3</f>
        <v>0</v>
      </c>
      <c r="P4" s="143">
        <f>IF(Z4=1,P3+O4,J3)</f>
        <v>0</v>
      </c>
      <c r="Q4" s="143">
        <f t="shared" ref="Q4:Q40" si="34">IF(OR(A4="H-3",A4="C-14"),0,IF(Z4=0,0,B4/$B$1*1000))</f>
        <v>0</v>
      </c>
      <c r="R4" s="143">
        <f>R3+Q4</f>
        <v>0</v>
      </c>
      <c r="S4" s="143">
        <f t="shared" ref="S4:S40" si="35">IF(OR(A4="H-3",A4="C-14"),IF(B4/$B$1*1000&lt;1000,0,1),0)</f>
        <v>0</v>
      </c>
      <c r="T4" s="143">
        <f>T3+S4</f>
        <v>0</v>
      </c>
      <c r="U4" s="8">
        <f t="shared" si="3"/>
        <v>0</v>
      </c>
      <c r="V4" s="82" t="str">
        <f t="shared" si="4"/>
        <v>0</v>
      </c>
      <c r="W4" s="8">
        <f t="shared" ref="W4:W40" si="36">V4+W3</f>
        <v>0</v>
      </c>
      <c r="X4" s="190">
        <f t="shared" si="5"/>
        <v>0</v>
      </c>
      <c r="Y4" s="190">
        <f>X4+Y3</f>
        <v>0</v>
      </c>
      <c r="Z4" s="8">
        <f t="shared" si="6"/>
        <v>0</v>
      </c>
      <c r="AA4" s="8">
        <f>AA3+Z4</f>
        <v>0</v>
      </c>
      <c r="AB4" s="8">
        <f t="shared" ref="AB4:AB40" si="37">IF(D4="Alpha",H4,0)</f>
        <v>0</v>
      </c>
      <c r="AC4" s="8">
        <f>AB4+AC3</f>
        <v>0</v>
      </c>
      <c r="AD4" s="8">
        <f t="shared" si="7"/>
        <v>0</v>
      </c>
      <c r="AE4" s="8">
        <f>AD4+AE3</f>
        <v>0</v>
      </c>
      <c r="AF4" s="8">
        <f t="shared" si="8"/>
        <v>0</v>
      </c>
      <c r="AG4" s="8">
        <f>AF4+AG3</f>
        <v>0</v>
      </c>
      <c r="AH4" s="8">
        <f t="shared" si="9"/>
        <v>0</v>
      </c>
      <c r="AI4" s="8">
        <f>AH4+AI3</f>
        <v>0</v>
      </c>
      <c r="AJ4" s="167">
        <f t="shared" si="10"/>
        <v>0</v>
      </c>
      <c r="AK4" s="167">
        <f>AJ4+AK3</f>
        <v>0</v>
      </c>
      <c r="AL4" s="109">
        <f t="shared" si="11"/>
        <v>0</v>
      </c>
      <c r="AM4" s="109">
        <f>AL4+AM3</f>
        <v>0</v>
      </c>
      <c r="AN4" s="113">
        <f t="shared" si="12"/>
        <v>0</v>
      </c>
      <c r="AO4" s="137">
        <f>AN4+AO3</f>
        <v>0</v>
      </c>
      <c r="AP4" s="97">
        <f t="shared" si="13"/>
        <v>0</v>
      </c>
      <c r="AQ4" s="97">
        <f>AP4+AQ3</f>
        <v>0</v>
      </c>
      <c r="AR4" s="104">
        <f t="shared" si="14"/>
        <v>0</v>
      </c>
      <c r="AS4" s="125">
        <f>AR4+AS3</f>
        <v>0</v>
      </c>
      <c r="AT4" s="8"/>
      <c r="AU4" s="8"/>
      <c r="AV4" s="8"/>
      <c r="AW4" s="82" t="str">
        <f t="shared" si="15"/>
        <v/>
      </c>
      <c r="AX4" s="13" t="e">
        <f>IF(A4="","",B4*EXP(-(0.693*3/VLOOKUP(A4,#REF!,2,FALSE))))</f>
        <v>#REF!</v>
      </c>
      <c r="AY4" s="8" t="e">
        <f t="shared" si="16"/>
        <v>#REF!</v>
      </c>
      <c r="AZ4" s="12" t="str">
        <f t="shared" si="17"/>
        <v xml:space="preserve"> to nie jest odpad !!!</v>
      </c>
      <c r="BA4" s="12" t="e">
        <f>IF(A4="","",VLOOKUP(A4,#REF!,8,FALSE))</f>
        <v>#REF!</v>
      </c>
      <c r="BB4" s="6" t="e">
        <f t="shared" si="18"/>
        <v>#REF!</v>
      </c>
      <c r="BC4" s="4">
        <f t="shared" si="19"/>
        <v>1</v>
      </c>
      <c r="BD4" s="4">
        <f t="shared" si="20"/>
        <v>1</v>
      </c>
      <c r="BE4" s="4" t="str">
        <f t="shared" si="21"/>
        <v/>
      </c>
      <c r="BF4" s="4" t="str">
        <f t="shared" si="22"/>
        <v/>
      </c>
      <c r="BG4" s="4" t="str">
        <f t="shared" si="23"/>
        <v/>
      </c>
      <c r="BH4" s="4" t="e">
        <f>IF(A4="","",VLOOKUP(A4,#REF!,11,FALSE))</f>
        <v>#REF!</v>
      </c>
      <c r="BI4" s="4" t="e">
        <f t="shared" si="24"/>
        <v>#REF!</v>
      </c>
      <c r="BJ4" s="32" t="e">
        <f t="shared" si="25"/>
        <v>#REF!</v>
      </c>
      <c r="BK4" s="30" t="e">
        <f t="shared" si="26"/>
        <v>#REF!</v>
      </c>
      <c r="BL4" s="30" t="e">
        <f t="shared" si="27"/>
        <v>#REF!</v>
      </c>
      <c r="BM4" s="30" t="e">
        <f t="shared" si="28"/>
        <v>#REF!</v>
      </c>
      <c r="BN4" s="4" t="e">
        <f>VLOOKUP(A4,#REF!,11,FALSE)</f>
        <v>#REF!</v>
      </c>
    </row>
    <row r="5" spans="1:66" s="4" customFormat="1" x14ac:dyDescent="0.2">
      <c r="A5" s="4" t="s">
        <v>0</v>
      </c>
      <c r="B5" s="136"/>
      <c r="C5" s="4">
        <f>IF(A5="","",VLOOKUP(A5,'D-Value_A1_A2_Exempted'!$A$2:$S$372,19,FALSE))</f>
        <v>30.16</v>
      </c>
      <c r="D5" s="173" t="str">
        <f t="shared" si="29"/>
        <v/>
      </c>
      <c r="E5" s="6" t="str">
        <f t="shared" si="0"/>
        <v/>
      </c>
      <c r="F5" s="6" t="str">
        <f t="shared" ref="F5:F8" si="38">IF(OR(A5="C-14",A5="Cl-36",A5="Ni-63"),"LB","")</f>
        <v/>
      </c>
      <c r="G5" s="84">
        <f>IF(A5="","",VLOOKUP(A5,'D-Value_A1_A2_Exempted'!$A$2:$S$372,17,FALSE))</f>
        <v>10</v>
      </c>
      <c r="H5" s="5">
        <f t="shared" si="30"/>
        <v>0</v>
      </c>
      <c r="I5" s="8">
        <f t="shared" ref="I5:I19" si="39">H5+I4</f>
        <v>0</v>
      </c>
      <c r="J5" s="8">
        <f t="shared" si="31"/>
        <v>0</v>
      </c>
      <c r="K5" s="5">
        <f t="shared" si="32"/>
        <v>0</v>
      </c>
      <c r="L5" s="117">
        <f t="shared" ref="L5:L40" si="40">K5+L4</f>
        <v>0</v>
      </c>
      <c r="M5" s="5">
        <f t="shared" si="33"/>
        <v>0</v>
      </c>
      <c r="N5" s="143">
        <f>IF(A5="","",IF(OR(A5="H-3",A5="C-14"),B5/$B$1*100,B5/$B$1*1000))</f>
        <v>0</v>
      </c>
      <c r="O5" s="143">
        <f>N5+O4</f>
        <v>0</v>
      </c>
      <c r="P5" s="143">
        <f>IF(Z5=1,P4+O5,J4)</f>
        <v>0</v>
      </c>
      <c r="Q5" s="143">
        <f t="shared" si="34"/>
        <v>0</v>
      </c>
      <c r="R5" s="143">
        <f>R4+Q5</f>
        <v>0</v>
      </c>
      <c r="S5" s="143">
        <f t="shared" si="35"/>
        <v>0</v>
      </c>
      <c r="T5" s="143">
        <f t="shared" ref="T5:T40" si="41">T4+S5</f>
        <v>0</v>
      </c>
      <c r="U5" s="8">
        <f t="shared" si="3"/>
        <v>0</v>
      </c>
      <c r="V5" s="82" t="str">
        <f t="shared" si="4"/>
        <v>0</v>
      </c>
      <c r="W5" s="8">
        <f t="shared" si="36"/>
        <v>0</v>
      </c>
      <c r="X5" s="190">
        <f t="shared" si="5"/>
        <v>0</v>
      </c>
      <c r="Y5" s="190">
        <f>X5+Y4</f>
        <v>0</v>
      </c>
      <c r="Z5" s="8">
        <f t="shared" si="6"/>
        <v>0</v>
      </c>
      <c r="AA5" s="8">
        <f t="shared" ref="AA5:AA9" si="42">AA4+Z5</f>
        <v>0</v>
      </c>
      <c r="AB5" s="8">
        <f t="shared" si="37"/>
        <v>0</v>
      </c>
      <c r="AC5" s="8">
        <f t="shared" ref="AC5:AC40" si="43">AB5+AC4</f>
        <v>0</v>
      </c>
      <c r="AD5" s="8">
        <f t="shared" si="7"/>
        <v>0</v>
      </c>
      <c r="AE5" s="8">
        <f t="shared" ref="AE5:AE19" si="44">AD5+AE4</f>
        <v>0</v>
      </c>
      <c r="AF5" s="8">
        <f t="shared" si="8"/>
        <v>0</v>
      </c>
      <c r="AG5" s="8">
        <f t="shared" ref="AG5:AG21" si="45">AF5+AG4</f>
        <v>0</v>
      </c>
      <c r="AH5" s="8">
        <f>IF(F5="LB",H5,0)</f>
        <v>0</v>
      </c>
      <c r="AI5" s="8">
        <f t="shared" ref="AI5:AI21" si="46">AH5+AI4</f>
        <v>0</v>
      </c>
      <c r="AJ5" s="167">
        <f t="shared" si="10"/>
        <v>0</v>
      </c>
      <c r="AK5" s="167">
        <f>AJ5+AK4</f>
        <v>0</v>
      </c>
      <c r="AL5" s="109">
        <f t="shared" si="11"/>
        <v>0</v>
      </c>
      <c r="AM5" s="109">
        <f t="shared" ref="AM5:AM21" si="47">AL5+AM4</f>
        <v>0</v>
      </c>
      <c r="AN5" s="113">
        <f t="shared" si="12"/>
        <v>0</v>
      </c>
      <c r="AO5" s="137">
        <f t="shared" ref="AO5:AO40" si="48">AN5+AO4</f>
        <v>0</v>
      </c>
      <c r="AP5" s="97">
        <f t="shared" si="13"/>
        <v>0</v>
      </c>
      <c r="AQ5" s="97">
        <f t="shared" ref="AQ5:AQ40" si="49">AP5+AQ4</f>
        <v>0</v>
      </c>
      <c r="AR5" s="104">
        <f t="shared" si="14"/>
        <v>0</v>
      </c>
      <c r="AS5" s="125">
        <f t="shared" ref="AS5:AS40" si="50">AR5+AS4</f>
        <v>0</v>
      </c>
      <c r="AT5" s="8"/>
      <c r="AU5" s="8"/>
      <c r="AV5" s="8"/>
      <c r="AW5" s="82" t="str">
        <f t="shared" si="15"/>
        <v/>
      </c>
      <c r="AX5" s="13" t="e">
        <f>IF(A5="","",B5*EXP(-(0.693*3/VLOOKUP(A5,#REF!,2,FALSE))))</f>
        <v>#REF!</v>
      </c>
      <c r="AY5" s="8" t="e">
        <f t="shared" si="16"/>
        <v>#REF!</v>
      </c>
      <c r="AZ5" s="12" t="str">
        <f t="shared" si="17"/>
        <v xml:space="preserve"> to nie jest odpad !!!</v>
      </c>
      <c r="BA5" s="12" t="e">
        <f>IF(A5="","",VLOOKUP(A5,#REF!,8,FALSE))</f>
        <v>#REF!</v>
      </c>
      <c r="BB5" s="6" t="e">
        <f t="shared" si="18"/>
        <v>#REF!</v>
      </c>
      <c r="BC5" s="4">
        <f t="shared" si="19"/>
        <v>1</v>
      </c>
      <c r="BD5" s="4">
        <f t="shared" si="20"/>
        <v>1</v>
      </c>
      <c r="BE5" s="4" t="str">
        <f t="shared" si="21"/>
        <v/>
      </c>
      <c r="BF5" s="4" t="str">
        <f t="shared" si="22"/>
        <v/>
      </c>
      <c r="BG5" s="4" t="str">
        <f t="shared" si="23"/>
        <v/>
      </c>
      <c r="BH5" s="4" t="e">
        <f>IF(A5="","",VLOOKUP(A5,#REF!,11,FALSE))</f>
        <v>#REF!</v>
      </c>
      <c r="BI5" s="4" t="e">
        <f t="shared" si="24"/>
        <v>#REF!</v>
      </c>
      <c r="BJ5" s="32" t="e">
        <f t="shared" si="25"/>
        <v>#REF!</v>
      </c>
      <c r="BK5" s="30" t="e">
        <f t="shared" si="26"/>
        <v>#REF!</v>
      </c>
      <c r="BL5" s="30" t="e">
        <f t="shared" si="27"/>
        <v>#REF!</v>
      </c>
      <c r="BM5" s="30" t="e">
        <f t="shared" si="28"/>
        <v>#REF!</v>
      </c>
      <c r="BN5" s="4" t="e">
        <f>VLOOKUP(A5,#REF!,11,FALSE)</f>
        <v>#REF!</v>
      </c>
    </row>
    <row r="6" spans="1:66" s="4" customFormat="1" x14ac:dyDescent="0.2">
      <c r="A6" s="4" t="s">
        <v>2</v>
      </c>
      <c r="B6" s="136"/>
      <c r="C6" s="4">
        <f>IF(A6="","",VLOOKUP(A6,'D-Value_A1_A2_Exempted'!$A$2:$S$372,19,FALSE))</f>
        <v>5.27</v>
      </c>
      <c r="D6" s="173" t="str">
        <f t="shared" si="29"/>
        <v/>
      </c>
      <c r="E6" s="6" t="str">
        <f t="shared" ref="E6" si="51">IF(OR(A6="Am-241",A6="Am-241-Be",A6="Am-242",A6="Am-242",A6="Pu-238",A6="Pu-239",A6="Ra-226",A6="Th-232",A6="Th-230",A6="U-233",A6="U-234",A6="U-235",A6="U-236",A6="U-238"),"L","")</f>
        <v/>
      </c>
      <c r="F6" s="6" t="str">
        <f t="shared" ref="F6" si="52">IF(OR(A6="C-14",A6="Cl-36",A6="Ni-63"),"LB","")</f>
        <v/>
      </c>
      <c r="G6" s="84">
        <f>IF(A6="","",VLOOKUP(A6,'D-Value_A1_A2_Exempted'!$A$2:$S$372,17,FALSE))</f>
        <v>10</v>
      </c>
      <c r="H6" s="5">
        <f t="shared" si="30"/>
        <v>0</v>
      </c>
      <c r="I6" s="8">
        <f t="shared" si="39"/>
        <v>0</v>
      </c>
      <c r="J6" s="8">
        <f t="shared" si="31"/>
        <v>0</v>
      </c>
      <c r="K6" s="5">
        <f t="shared" si="32"/>
        <v>0</v>
      </c>
      <c r="L6" s="117">
        <f t="shared" si="40"/>
        <v>0</v>
      </c>
      <c r="M6" s="5">
        <f t="shared" si="33"/>
        <v>0</v>
      </c>
      <c r="N6" s="143">
        <f>IF(A6="","",IF(OR(A6="H-3",A6="C-14"),B6/$B$1*100,B6/$B$1*1000))</f>
        <v>0</v>
      </c>
      <c r="O6" s="143">
        <f t="shared" ref="O6:O21" si="53">N6+O5</f>
        <v>0</v>
      </c>
      <c r="P6" s="143">
        <f t="shared" ref="P6:P40" si="54">IF(Z6=1,P5+O6,J5)</f>
        <v>0</v>
      </c>
      <c r="Q6" s="143">
        <f t="shared" si="34"/>
        <v>0</v>
      </c>
      <c r="R6" s="143">
        <f t="shared" ref="R6:R40" si="55">R5+Q6</f>
        <v>0</v>
      </c>
      <c r="S6" s="143">
        <f t="shared" si="35"/>
        <v>0</v>
      </c>
      <c r="T6" s="143">
        <f t="shared" si="41"/>
        <v>0</v>
      </c>
      <c r="U6" s="8">
        <f t="shared" si="3"/>
        <v>0</v>
      </c>
      <c r="V6" s="82" t="str">
        <f t="shared" si="4"/>
        <v>0</v>
      </c>
      <c r="W6" s="8">
        <f t="shared" si="36"/>
        <v>0</v>
      </c>
      <c r="X6" s="190">
        <f t="shared" si="5"/>
        <v>0</v>
      </c>
      <c r="Y6" s="190">
        <f t="shared" ref="Y6:Y40" si="56">X6+Y5</f>
        <v>0</v>
      </c>
      <c r="Z6" s="8">
        <f t="shared" si="6"/>
        <v>0</v>
      </c>
      <c r="AA6" s="8">
        <f t="shared" si="42"/>
        <v>0</v>
      </c>
      <c r="AB6" s="8">
        <f t="shared" si="37"/>
        <v>0</v>
      </c>
      <c r="AC6" s="8">
        <f t="shared" si="43"/>
        <v>0</v>
      </c>
      <c r="AD6" s="8">
        <f t="shared" si="7"/>
        <v>0</v>
      </c>
      <c r="AE6" s="8">
        <f t="shared" si="44"/>
        <v>0</v>
      </c>
      <c r="AF6" s="8">
        <f t="shared" si="8"/>
        <v>0</v>
      </c>
      <c r="AG6" s="8">
        <f t="shared" si="45"/>
        <v>0</v>
      </c>
      <c r="AH6" s="8">
        <f t="shared" ref="AH6:AH40" si="57">IF(F6="LB",H6,0)</f>
        <v>0</v>
      </c>
      <c r="AI6" s="8">
        <f t="shared" si="46"/>
        <v>0</v>
      </c>
      <c r="AJ6" s="167">
        <f t="shared" si="10"/>
        <v>0</v>
      </c>
      <c r="AK6" s="167">
        <f t="shared" ref="AK6:AK40" si="58">AJ6+AK5</f>
        <v>0</v>
      </c>
      <c r="AL6" s="109">
        <f t="shared" si="11"/>
        <v>0</v>
      </c>
      <c r="AM6" s="109">
        <f t="shared" si="47"/>
        <v>0</v>
      </c>
      <c r="AN6" s="113">
        <f t="shared" si="12"/>
        <v>0</v>
      </c>
      <c r="AO6" s="137">
        <f t="shared" si="48"/>
        <v>0</v>
      </c>
      <c r="AP6" s="97">
        <f t="shared" si="13"/>
        <v>0</v>
      </c>
      <c r="AQ6" s="97">
        <f t="shared" si="49"/>
        <v>0</v>
      </c>
      <c r="AR6" s="104">
        <f t="shared" si="14"/>
        <v>0</v>
      </c>
      <c r="AS6" s="125">
        <f t="shared" si="50"/>
        <v>0</v>
      </c>
      <c r="AT6" s="8"/>
      <c r="AU6" s="8"/>
      <c r="AV6" s="8"/>
      <c r="AW6" s="82"/>
      <c r="AX6" s="13"/>
      <c r="AY6" s="8"/>
      <c r="AZ6" s="12"/>
      <c r="BA6" s="12"/>
      <c r="BB6" s="6"/>
      <c r="BJ6" s="32"/>
      <c r="BK6" s="30"/>
      <c r="BL6" s="30"/>
      <c r="BM6" s="30"/>
    </row>
    <row r="7" spans="1:66" s="4" customFormat="1" x14ac:dyDescent="0.2">
      <c r="A7" s="4" t="s">
        <v>221</v>
      </c>
      <c r="B7" s="136"/>
      <c r="C7" s="4">
        <f>IF(A7="","",VLOOKUP(A7,'D-Value_A1_A2_Exempted'!$A$2:$S$372,19,FALSE))</f>
        <v>2.6154999999999999E-4</v>
      </c>
      <c r="D7" s="173" t="str">
        <f t="shared" si="29"/>
        <v/>
      </c>
      <c r="E7" s="6" t="str">
        <f t="shared" si="0"/>
        <v/>
      </c>
      <c r="F7" s="6" t="str">
        <f t="shared" si="38"/>
        <v/>
      </c>
      <c r="G7" s="84">
        <f>IF(A7="","",VLOOKUP(A7,'D-Value_A1_A2_Exempted'!$A$2:$S$372,17,FALSE))</f>
        <v>10</v>
      </c>
      <c r="H7" s="5">
        <f t="shared" si="30"/>
        <v>0</v>
      </c>
      <c r="I7" s="8">
        <f t="shared" si="39"/>
        <v>0</v>
      </c>
      <c r="J7" s="8">
        <f t="shared" si="31"/>
        <v>0</v>
      </c>
      <c r="K7" s="5">
        <f t="shared" si="32"/>
        <v>0</v>
      </c>
      <c r="L7" s="117">
        <f t="shared" si="40"/>
        <v>0</v>
      </c>
      <c r="M7" s="5">
        <f t="shared" si="33"/>
        <v>0</v>
      </c>
      <c r="N7" s="143">
        <f t="shared" ref="N7:N20" si="59">IF(A7="","",IF(OR(A7="H-3",A7="C-14"),B7/$B$1*100,B7/$B$1*1000))</f>
        <v>0</v>
      </c>
      <c r="O7" s="143">
        <f t="shared" si="53"/>
        <v>0</v>
      </c>
      <c r="P7" s="143">
        <f t="shared" si="54"/>
        <v>0</v>
      </c>
      <c r="Q7" s="143">
        <f t="shared" si="34"/>
        <v>0</v>
      </c>
      <c r="R7" s="143">
        <f t="shared" si="55"/>
        <v>0</v>
      </c>
      <c r="S7" s="143">
        <f t="shared" si="35"/>
        <v>0</v>
      </c>
      <c r="T7" s="143">
        <f t="shared" si="41"/>
        <v>0</v>
      </c>
      <c r="U7" s="8">
        <f t="shared" si="3"/>
        <v>0</v>
      </c>
      <c r="V7" s="82" t="str">
        <f t="shared" si="4"/>
        <v>0</v>
      </c>
      <c r="W7" s="8">
        <f t="shared" si="36"/>
        <v>0</v>
      </c>
      <c r="X7" s="190">
        <f t="shared" si="5"/>
        <v>0</v>
      </c>
      <c r="Y7" s="190">
        <f t="shared" si="56"/>
        <v>0</v>
      </c>
      <c r="Z7" s="8">
        <f t="shared" si="6"/>
        <v>0</v>
      </c>
      <c r="AA7" s="8">
        <f t="shared" si="42"/>
        <v>0</v>
      </c>
      <c r="AB7" s="8">
        <f t="shared" si="37"/>
        <v>0</v>
      </c>
      <c r="AC7" s="8">
        <f t="shared" si="43"/>
        <v>0</v>
      </c>
      <c r="AD7" s="8">
        <f t="shared" si="7"/>
        <v>0</v>
      </c>
      <c r="AE7" s="8">
        <f t="shared" si="44"/>
        <v>0</v>
      </c>
      <c r="AF7" s="8">
        <f t="shared" si="8"/>
        <v>0</v>
      </c>
      <c r="AG7" s="8">
        <f t="shared" si="45"/>
        <v>0</v>
      </c>
      <c r="AH7" s="8">
        <f t="shared" si="57"/>
        <v>0</v>
      </c>
      <c r="AI7" s="8">
        <f t="shared" si="46"/>
        <v>0</v>
      </c>
      <c r="AJ7" s="167">
        <f t="shared" si="10"/>
        <v>0</v>
      </c>
      <c r="AK7" s="167">
        <f t="shared" si="58"/>
        <v>0</v>
      </c>
      <c r="AL7" s="109">
        <f t="shared" si="11"/>
        <v>0</v>
      </c>
      <c r="AM7" s="109">
        <f t="shared" si="47"/>
        <v>0</v>
      </c>
      <c r="AN7" s="113">
        <f t="shared" si="12"/>
        <v>0</v>
      </c>
      <c r="AO7" s="137">
        <f t="shared" si="48"/>
        <v>0</v>
      </c>
      <c r="AP7" s="97">
        <f t="shared" si="13"/>
        <v>0</v>
      </c>
      <c r="AQ7" s="97">
        <f t="shared" si="49"/>
        <v>0</v>
      </c>
      <c r="AR7" s="104">
        <f t="shared" si="14"/>
        <v>0</v>
      </c>
      <c r="AS7" s="125">
        <f t="shared" si="50"/>
        <v>0</v>
      </c>
      <c r="AT7" s="8"/>
      <c r="AU7" s="8"/>
      <c r="AV7" s="8"/>
      <c r="AW7" s="83" t="str">
        <f t="shared" si="15"/>
        <v/>
      </c>
      <c r="AX7" s="13" t="e">
        <f>IF(A7="","",B7*EXP(-(0.693*3/VLOOKUP(A7,#REF!,2,FALSE))))</f>
        <v>#REF!</v>
      </c>
      <c r="AY7" s="8" t="e">
        <f t="shared" si="16"/>
        <v>#REF!</v>
      </c>
      <c r="AZ7" s="12" t="str">
        <f t="shared" si="17"/>
        <v xml:space="preserve"> to nie jest odpad !!!</v>
      </c>
      <c r="BA7" s="12" t="e">
        <f>IF(A7="","",VLOOKUP(A7,#REF!,8,FALSE))</f>
        <v>#REF!</v>
      </c>
      <c r="BB7" s="6" t="e">
        <f t="shared" si="18"/>
        <v>#REF!</v>
      </c>
      <c r="BC7" s="4">
        <f t="shared" si="19"/>
        <v>1</v>
      </c>
      <c r="BD7" s="4">
        <f t="shared" si="20"/>
        <v>1</v>
      </c>
      <c r="BE7" s="4" t="str">
        <f t="shared" si="21"/>
        <v/>
      </c>
      <c r="BF7" s="4" t="str">
        <f t="shared" si="22"/>
        <v/>
      </c>
      <c r="BG7" s="4" t="str">
        <f t="shared" si="23"/>
        <v/>
      </c>
      <c r="BH7" s="4" t="e">
        <f>IF(A7="","",VLOOKUP(A7,#REF!,11,FALSE))</f>
        <v>#REF!</v>
      </c>
      <c r="BI7" s="4" t="e">
        <f t="shared" si="24"/>
        <v>#REF!</v>
      </c>
      <c r="BJ7" s="32" t="e">
        <f t="shared" si="25"/>
        <v>#REF!</v>
      </c>
      <c r="BK7" s="30" t="e">
        <f t="shared" si="26"/>
        <v>#REF!</v>
      </c>
      <c r="BL7" s="30" t="e">
        <f t="shared" si="27"/>
        <v>#REF!</v>
      </c>
      <c r="BM7" s="30" t="e">
        <f t="shared" si="28"/>
        <v>#REF!</v>
      </c>
      <c r="BN7" s="4" t="e">
        <f>VLOOKUP(A7,#REF!,11,FALSE)</f>
        <v>#REF!</v>
      </c>
    </row>
    <row r="8" spans="1:66" s="4" customFormat="1" x14ac:dyDescent="0.2">
      <c r="A8" s="4" t="s">
        <v>7</v>
      </c>
      <c r="B8" s="136"/>
      <c r="C8" s="4">
        <f>IF(A8="","",VLOOKUP(A8,'D-Value_A1_A2_Exempted'!$A$2:$S$372,19,FALSE))</f>
        <v>12.3</v>
      </c>
      <c r="D8" s="173" t="str">
        <f t="shared" si="29"/>
        <v/>
      </c>
      <c r="E8" s="6" t="str">
        <f t="shared" si="0"/>
        <v/>
      </c>
      <c r="F8" s="6" t="str">
        <f t="shared" si="38"/>
        <v/>
      </c>
      <c r="G8" s="84">
        <f>IF(A8="","",VLOOKUP(A8,'D-Value_A1_A2_Exempted'!$A$2:$S$372,17,FALSE))</f>
        <v>1000000</v>
      </c>
      <c r="H8" s="5">
        <f t="shared" si="30"/>
        <v>0</v>
      </c>
      <c r="I8" s="8">
        <f t="shared" si="39"/>
        <v>0</v>
      </c>
      <c r="J8" s="8">
        <f t="shared" si="31"/>
        <v>0</v>
      </c>
      <c r="K8" s="5">
        <f t="shared" si="32"/>
        <v>0</v>
      </c>
      <c r="L8" s="117">
        <f t="shared" si="40"/>
        <v>0</v>
      </c>
      <c r="M8" s="5">
        <f t="shared" si="33"/>
        <v>0</v>
      </c>
      <c r="N8" s="143">
        <f t="shared" si="59"/>
        <v>0</v>
      </c>
      <c r="O8" s="143">
        <f t="shared" si="53"/>
        <v>0</v>
      </c>
      <c r="P8" s="143">
        <f t="shared" si="54"/>
        <v>0</v>
      </c>
      <c r="Q8" s="143">
        <f t="shared" si="34"/>
        <v>0</v>
      </c>
      <c r="R8" s="143">
        <f t="shared" si="55"/>
        <v>0</v>
      </c>
      <c r="S8" s="143">
        <f t="shared" si="35"/>
        <v>0</v>
      </c>
      <c r="T8" s="143">
        <f t="shared" si="41"/>
        <v>0</v>
      </c>
      <c r="U8" s="8">
        <f t="shared" si="3"/>
        <v>0</v>
      </c>
      <c r="V8" s="82" t="str">
        <f t="shared" si="4"/>
        <v>0</v>
      </c>
      <c r="W8" s="8">
        <f t="shared" si="36"/>
        <v>0</v>
      </c>
      <c r="X8" s="190">
        <f t="shared" si="5"/>
        <v>0</v>
      </c>
      <c r="Y8" s="190">
        <f t="shared" si="56"/>
        <v>0</v>
      </c>
      <c r="Z8" s="8">
        <f t="shared" si="6"/>
        <v>0</v>
      </c>
      <c r="AA8" s="8">
        <f t="shared" si="42"/>
        <v>0</v>
      </c>
      <c r="AB8" s="8">
        <f t="shared" si="37"/>
        <v>0</v>
      </c>
      <c r="AC8" s="8">
        <f t="shared" si="43"/>
        <v>0</v>
      </c>
      <c r="AD8" s="8">
        <f t="shared" si="7"/>
        <v>0</v>
      </c>
      <c r="AE8" s="8">
        <f t="shared" si="44"/>
        <v>0</v>
      </c>
      <c r="AF8" s="8">
        <f t="shared" si="8"/>
        <v>0</v>
      </c>
      <c r="AG8" s="8">
        <f t="shared" si="45"/>
        <v>0</v>
      </c>
      <c r="AH8" s="8">
        <f t="shared" si="57"/>
        <v>0</v>
      </c>
      <c r="AI8" s="8">
        <f t="shared" si="46"/>
        <v>0</v>
      </c>
      <c r="AJ8" s="167">
        <f t="shared" si="10"/>
        <v>0</v>
      </c>
      <c r="AK8" s="167">
        <f t="shared" si="58"/>
        <v>0</v>
      </c>
      <c r="AL8" s="109">
        <f t="shared" si="11"/>
        <v>0</v>
      </c>
      <c r="AM8" s="109">
        <f t="shared" si="47"/>
        <v>0</v>
      </c>
      <c r="AN8" s="113">
        <f t="shared" si="12"/>
        <v>0</v>
      </c>
      <c r="AO8" s="137">
        <f t="shared" si="48"/>
        <v>0</v>
      </c>
      <c r="AP8" s="97">
        <f t="shared" si="13"/>
        <v>0</v>
      </c>
      <c r="AQ8" s="97">
        <f t="shared" si="49"/>
        <v>0</v>
      </c>
      <c r="AR8" s="104">
        <f t="shared" si="14"/>
        <v>0</v>
      </c>
      <c r="AS8" s="125">
        <f t="shared" si="50"/>
        <v>0</v>
      </c>
      <c r="AT8" s="8"/>
      <c r="AU8" s="8"/>
      <c r="AV8" s="8"/>
      <c r="AW8" s="82" t="str">
        <f t="shared" si="15"/>
        <v/>
      </c>
      <c r="AX8" s="13" t="e">
        <f>IF(A8="","",B8*EXP(-(0.693*3/VLOOKUP(A8,#REF!,2,FALSE))))</f>
        <v>#REF!</v>
      </c>
      <c r="AY8" s="8" t="e">
        <f t="shared" si="16"/>
        <v>#REF!</v>
      </c>
      <c r="AZ8" s="12" t="str">
        <f t="shared" si="17"/>
        <v xml:space="preserve"> to nie jest odpad !!!</v>
      </c>
      <c r="BA8" s="12" t="e">
        <f>IF(A8="","",VLOOKUP(A8,#REF!,8,FALSE))</f>
        <v>#REF!</v>
      </c>
      <c r="BB8" s="6" t="e">
        <f t="shared" si="18"/>
        <v>#REF!</v>
      </c>
      <c r="BC8" s="4">
        <f t="shared" si="19"/>
        <v>1</v>
      </c>
      <c r="BD8" s="4">
        <f t="shared" si="20"/>
        <v>1</v>
      </c>
      <c r="BE8" s="4" t="str">
        <f t="shared" si="21"/>
        <v/>
      </c>
      <c r="BF8" s="4" t="str">
        <f t="shared" si="22"/>
        <v/>
      </c>
      <c r="BG8" s="4" t="str">
        <f t="shared" si="23"/>
        <v/>
      </c>
      <c r="BH8" s="4" t="e">
        <f>IF(A8="","",VLOOKUP(A8,#REF!,11,FALSE))</f>
        <v>#REF!</v>
      </c>
      <c r="BI8" s="4" t="e">
        <f t="shared" si="24"/>
        <v>#REF!</v>
      </c>
      <c r="BJ8" s="32" t="e">
        <f t="shared" si="25"/>
        <v>#REF!</v>
      </c>
      <c r="BK8" s="30" t="e">
        <f t="shared" si="26"/>
        <v>#REF!</v>
      </c>
      <c r="BL8" s="30" t="e">
        <f t="shared" si="27"/>
        <v>#REF!</v>
      </c>
      <c r="BM8" s="30" t="e">
        <f t="shared" si="28"/>
        <v>#REF!</v>
      </c>
      <c r="BN8" s="4" t="e">
        <f>VLOOKUP(A8,#REF!,11,FALSE)</f>
        <v>#REF!</v>
      </c>
    </row>
    <row r="9" spans="1:66" s="4" customFormat="1" x14ac:dyDescent="0.2">
      <c r="A9" s="4" t="s">
        <v>41</v>
      </c>
      <c r="B9" s="136">
        <v>1010</v>
      </c>
      <c r="C9" s="4">
        <f>IF(A9="","",VLOOKUP(A9,'D-Value_A1_A2_Exempted'!$A$2:$S$372,19,FALSE))</f>
        <v>100</v>
      </c>
      <c r="D9" s="173" t="str">
        <f t="shared" si="29"/>
        <v/>
      </c>
      <c r="E9" s="6" t="str">
        <f t="shared" ref="E9:E40" si="60">IF(OR(A9="Am-241",A9="Am-241-Be",A9="Am-242",A9="Am-242",A9="Pu-238",A9="Pu-239",A9="Ra-226",A9="Th-232",A9="Th-230",A9="U-233",A9="U-234",A9="U-235",A9="U-236",A9="U-238"),"L","")</f>
        <v/>
      </c>
      <c r="F9" s="6" t="str">
        <f t="shared" ref="F9:F40" si="61">IF(OR(A9="C-14",A9="Cl-36",A9="Ni-63"),"LB","")</f>
        <v>LB</v>
      </c>
      <c r="G9" s="84">
        <f>IF(A9="","",VLOOKUP(A9,'D-Value_A1_A2_Exempted'!$A$2:$S$372,17,FALSE))</f>
        <v>100000</v>
      </c>
      <c r="H9" s="5">
        <f t="shared" si="30"/>
        <v>101000</v>
      </c>
      <c r="I9" s="8">
        <f t="shared" si="39"/>
        <v>101000</v>
      </c>
      <c r="J9" s="8">
        <f t="shared" si="31"/>
        <v>101000</v>
      </c>
      <c r="K9" s="5">
        <f t="shared" si="32"/>
        <v>1.01</v>
      </c>
      <c r="L9" s="117">
        <f t="shared" si="40"/>
        <v>1.01</v>
      </c>
      <c r="M9" s="5">
        <f t="shared" si="33"/>
        <v>1.01</v>
      </c>
      <c r="N9" s="143">
        <f t="shared" si="59"/>
        <v>101000</v>
      </c>
      <c r="O9" s="143">
        <f t="shared" si="53"/>
        <v>101000</v>
      </c>
      <c r="P9" s="143">
        <f t="shared" si="54"/>
        <v>101000</v>
      </c>
      <c r="Q9" s="143">
        <f t="shared" si="34"/>
        <v>101000</v>
      </c>
      <c r="R9" s="143">
        <f t="shared" si="55"/>
        <v>101000</v>
      </c>
      <c r="S9" s="143">
        <f t="shared" si="35"/>
        <v>0</v>
      </c>
      <c r="T9" s="143">
        <f t="shared" si="41"/>
        <v>0</v>
      </c>
      <c r="U9" s="8">
        <f>B9*EXP(-(LN(2)*3/C9))*1000</f>
        <v>989214.50056279602</v>
      </c>
      <c r="V9" s="82">
        <f t="shared" si="4"/>
        <v>98921.450056279602</v>
      </c>
      <c r="W9" s="8">
        <f t="shared" si="36"/>
        <v>98921.450056279602</v>
      </c>
      <c r="X9" s="190">
        <f>V9/G9</f>
        <v>0.98921450056279603</v>
      </c>
      <c r="Y9" s="190">
        <f t="shared" si="56"/>
        <v>0.98921450056279603</v>
      </c>
      <c r="Z9" s="8">
        <f t="shared" si="6"/>
        <v>1</v>
      </c>
      <c r="AA9" s="8">
        <f t="shared" si="42"/>
        <v>1</v>
      </c>
      <c r="AB9" s="8">
        <f t="shared" si="37"/>
        <v>0</v>
      </c>
      <c r="AC9" s="8">
        <f t="shared" si="43"/>
        <v>0</v>
      </c>
      <c r="AD9" s="8">
        <f t="shared" si="7"/>
        <v>0</v>
      </c>
      <c r="AE9" s="8">
        <f t="shared" si="44"/>
        <v>0</v>
      </c>
      <c r="AF9" s="8">
        <f t="shared" si="8"/>
        <v>0</v>
      </c>
      <c r="AG9" s="8">
        <f t="shared" si="45"/>
        <v>0</v>
      </c>
      <c r="AH9" s="8">
        <f t="shared" si="57"/>
        <v>101000</v>
      </c>
      <c r="AI9" s="8">
        <f t="shared" si="46"/>
        <v>101000</v>
      </c>
      <c r="AJ9" s="167">
        <f t="shared" si="10"/>
        <v>1.01</v>
      </c>
      <c r="AK9" s="167">
        <f t="shared" si="58"/>
        <v>1.01</v>
      </c>
      <c r="AL9" s="109">
        <f t="shared" si="11"/>
        <v>101000</v>
      </c>
      <c r="AM9" s="109">
        <f t="shared" si="47"/>
        <v>101000</v>
      </c>
      <c r="AN9" s="113">
        <f t="shared" si="12"/>
        <v>1.01</v>
      </c>
      <c r="AO9" s="137">
        <f t="shared" si="48"/>
        <v>1.01</v>
      </c>
      <c r="AP9" s="97">
        <f t="shared" si="13"/>
        <v>101000</v>
      </c>
      <c r="AQ9" s="97">
        <f t="shared" si="49"/>
        <v>101000</v>
      </c>
      <c r="AR9" s="104">
        <f t="shared" si="14"/>
        <v>1.01</v>
      </c>
      <c r="AS9" s="125">
        <f t="shared" si="50"/>
        <v>1.01</v>
      </c>
      <c r="AT9" s="8"/>
      <c r="AU9" s="8"/>
      <c r="AV9" s="8"/>
      <c r="AW9" s="82" t="str">
        <f t="shared" si="15"/>
        <v/>
      </c>
      <c r="AX9" s="13" t="e">
        <f>IF(A9="","",B9*EXP(-(0.693*3/VLOOKUP(A9,#REF!,2,FALSE))))</f>
        <v>#REF!</v>
      </c>
      <c r="AY9" s="8" t="e">
        <f t="shared" si="16"/>
        <v>#REF!</v>
      </c>
      <c r="AZ9" s="12" t="str">
        <f t="shared" si="17"/>
        <v xml:space="preserve"> długożyciowy</v>
      </c>
      <c r="BA9" s="12" t="e">
        <f>IF(A9="","",VLOOKUP(A9,#REF!,8,FALSE))</f>
        <v>#REF!</v>
      </c>
      <c r="BB9" s="6" t="e">
        <f t="shared" si="18"/>
        <v>#REF!</v>
      </c>
      <c r="BC9" s="4">
        <f t="shared" si="19"/>
        <v>1</v>
      </c>
      <c r="BD9" s="4" t="str">
        <f t="shared" si="20"/>
        <v/>
      </c>
      <c r="BE9" s="4" t="str">
        <f t="shared" si="21"/>
        <v/>
      </c>
      <c r="BF9" s="4" t="str">
        <f t="shared" si="22"/>
        <v/>
      </c>
      <c r="BG9" s="4">
        <f t="shared" si="23"/>
        <v>1</v>
      </c>
      <c r="BH9" s="4" t="e">
        <f>IF(A9="","",VLOOKUP(A9,#REF!,11,FALSE))</f>
        <v>#REF!</v>
      </c>
      <c r="BI9" s="4" t="e">
        <f t="shared" si="24"/>
        <v>#REF!</v>
      </c>
      <c r="BJ9" s="32" t="e">
        <f t="shared" si="25"/>
        <v>#REF!</v>
      </c>
      <c r="BK9" s="30" t="e">
        <f t="shared" si="26"/>
        <v>#REF!</v>
      </c>
      <c r="BL9" s="30" t="e">
        <f t="shared" si="27"/>
        <v>#REF!</v>
      </c>
      <c r="BM9" s="30" t="e">
        <f t="shared" si="28"/>
        <v>#REF!</v>
      </c>
      <c r="BN9" s="4" t="e">
        <f>VLOOKUP(A9,#REF!,11,FALSE)</f>
        <v>#REF!</v>
      </c>
    </row>
    <row r="10" spans="1:66" s="4" customFormat="1" x14ac:dyDescent="0.2">
      <c r="A10" s="4" t="s">
        <v>126</v>
      </c>
      <c r="B10" s="136"/>
      <c r="C10" s="4">
        <f>IF(A10="","",VLOOKUP(A10,'D-Value_A1_A2_Exempted'!$A$2:$S$372,19,FALSE))</f>
        <v>3.7139999999999999E-2</v>
      </c>
      <c r="D10" s="173" t="str">
        <f t="shared" si="29"/>
        <v/>
      </c>
      <c r="E10" s="6" t="str">
        <f t="shared" si="60"/>
        <v/>
      </c>
      <c r="F10" s="6" t="str">
        <f t="shared" si="61"/>
        <v/>
      </c>
      <c r="G10" s="84">
        <f>IF(A10="","",VLOOKUP(A10,'D-Value_A1_A2_Exempted'!$A$2:$S$372,17,FALSE))</f>
        <v>10000</v>
      </c>
      <c r="H10" s="5">
        <f t="shared" si="30"/>
        <v>0</v>
      </c>
      <c r="I10" s="8">
        <f t="shared" si="39"/>
        <v>101000</v>
      </c>
      <c r="J10" s="8">
        <f t="shared" si="31"/>
        <v>101000</v>
      </c>
      <c r="K10" s="5">
        <f t="shared" si="32"/>
        <v>0</v>
      </c>
      <c r="L10" s="117">
        <f t="shared" si="40"/>
        <v>1.01</v>
      </c>
      <c r="M10" s="5">
        <f t="shared" si="33"/>
        <v>1.01</v>
      </c>
      <c r="N10" s="143">
        <f t="shared" si="59"/>
        <v>0</v>
      </c>
      <c r="O10" s="143">
        <f t="shared" si="53"/>
        <v>101000</v>
      </c>
      <c r="P10" s="143">
        <f t="shared" si="54"/>
        <v>101000</v>
      </c>
      <c r="Q10" s="143">
        <f t="shared" si="34"/>
        <v>0</v>
      </c>
      <c r="R10" s="143">
        <f t="shared" si="55"/>
        <v>101000</v>
      </c>
      <c r="S10" s="143">
        <f t="shared" si="35"/>
        <v>0</v>
      </c>
      <c r="T10" s="143">
        <f t="shared" si="41"/>
        <v>0</v>
      </c>
      <c r="U10" s="8">
        <f t="shared" ref="U10:U40" si="62">B10*EXP(-(LN(2)*3/C10))*1000</f>
        <v>0</v>
      </c>
      <c r="V10" s="82" t="str">
        <f t="shared" si="4"/>
        <v>0</v>
      </c>
      <c r="W10" s="8">
        <f t="shared" si="36"/>
        <v>98921.450056279602</v>
      </c>
      <c r="X10" s="190">
        <f t="shared" si="5"/>
        <v>0</v>
      </c>
      <c r="Y10" s="190">
        <f t="shared" si="56"/>
        <v>0.98921450056279603</v>
      </c>
      <c r="Z10" s="8">
        <f t="shared" si="6"/>
        <v>0</v>
      </c>
      <c r="AA10" s="8">
        <f t="shared" ref="AA10:AA37" si="63">AA9+Z10</f>
        <v>1</v>
      </c>
      <c r="AB10" s="8">
        <f t="shared" si="37"/>
        <v>0</v>
      </c>
      <c r="AC10" s="8">
        <f t="shared" si="43"/>
        <v>0</v>
      </c>
      <c r="AD10" s="8">
        <f t="shared" si="7"/>
        <v>0</v>
      </c>
      <c r="AE10" s="8">
        <f t="shared" si="44"/>
        <v>0</v>
      </c>
      <c r="AF10" s="8">
        <f t="shared" si="8"/>
        <v>0</v>
      </c>
      <c r="AG10" s="8">
        <f t="shared" si="45"/>
        <v>0</v>
      </c>
      <c r="AH10" s="8">
        <f t="shared" si="57"/>
        <v>0</v>
      </c>
      <c r="AI10" s="8">
        <f t="shared" si="46"/>
        <v>101000</v>
      </c>
      <c r="AJ10" s="167">
        <f t="shared" si="10"/>
        <v>0</v>
      </c>
      <c r="AK10" s="167">
        <f t="shared" si="58"/>
        <v>1.01</v>
      </c>
      <c r="AL10" s="109">
        <f t="shared" si="11"/>
        <v>0</v>
      </c>
      <c r="AM10" s="109">
        <f t="shared" si="47"/>
        <v>101000</v>
      </c>
      <c r="AN10" s="113">
        <f t="shared" si="12"/>
        <v>0</v>
      </c>
      <c r="AO10" s="137">
        <f t="shared" si="48"/>
        <v>1.01</v>
      </c>
      <c r="AP10" s="97">
        <f t="shared" si="13"/>
        <v>0</v>
      </c>
      <c r="AQ10" s="97">
        <f t="shared" si="49"/>
        <v>101000</v>
      </c>
      <c r="AR10" s="104">
        <f t="shared" si="14"/>
        <v>0</v>
      </c>
      <c r="AS10" s="125">
        <f t="shared" si="50"/>
        <v>1.01</v>
      </c>
      <c r="AT10" s="8"/>
      <c r="AU10" s="8"/>
      <c r="AV10" s="8"/>
      <c r="AW10" s="82"/>
      <c r="AX10" s="13"/>
      <c r="AY10" s="8"/>
      <c r="AZ10" s="12"/>
      <c r="BA10" s="12"/>
      <c r="BB10" s="6"/>
      <c r="BJ10" s="32"/>
      <c r="BK10" s="30"/>
      <c r="BL10" s="30"/>
      <c r="BM10" s="30"/>
    </row>
    <row r="11" spans="1:66" s="4" customFormat="1" x14ac:dyDescent="0.2">
      <c r="A11" s="4" t="s">
        <v>191</v>
      </c>
      <c r="B11" s="136"/>
      <c r="C11" s="4">
        <f>IF(A11="","",VLOOKUP(A11,'D-Value_A1_A2_Exempted'!$A$2:$S$372,19,FALSE))</f>
        <v>24100</v>
      </c>
      <c r="D11" s="173" t="str">
        <f t="shared" si="29"/>
        <v>Alpha</v>
      </c>
      <c r="E11" s="6" t="str">
        <f t="shared" si="60"/>
        <v>L</v>
      </c>
      <c r="F11" s="6" t="str">
        <f t="shared" si="61"/>
        <v/>
      </c>
      <c r="G11" s="84">
        <f>IF(A11="","",VLOOKUP(A11,'D-Value_A1_A2_Exempted'!$A$2:$S$372,17,FALSE))</f>
        <v>1</v>
      </c>
      <c r="H11" s="5">
        <f t="shared" si="30"/>
        <v>0</v>
      </c>
      <c r="I11" s="8">
        <f t="shared" si="39"/>
        <v>101000</v>
      </c>
      <c r="J11" s="8">
        <f t="shared" si="31"/>
        <v>101000</v>
      </c>
      <c r="K11" s="5">
        <f t="shared" si="32"/>
        <v>0</v>
      </c>
      <c r="L11" s="117">
        <f t="shared" si="40"/>
        <v>1.01</v>
      </c>
      <c r="M11" s="5">
        <f t="shared" si="33"/>
        <v>1.01</v>
      </c>
      <c r="N11" s="143">
        <f t="shared" si="59"/>
        <v>0</v>
      </c>
      <c r="O11" s="143">
        <f t="shared" si="53"/>
        <v>101000</v>
      </c>
      <c r="P11" s="143">
        <f t="shared" si="54"/>
        <v>101000</v>
      </c>
      <c r="Q11" s="143">
        <f t="shared" si="34"/>
        <v>0</v>
      </c>
      <c r="R11" s="143">
        <f t="shared" si="55"/>
        <v>101000</v>
      </c>
      <c r="S11" s="143">
        <f t="shared" si="35"/>
        <v>0</v>
      </c>
      <c r="T11" s="143">
        <f t="shared" si="41"/>
        <v>0</v>
      </c>
      <c r="U11" s="8">
        <f t="shared" si="62"/>
        <v>0</v>
      </c>
      <c r="V11" s="82" t="str">
        <f t="shared" si="4"/>
        <v>0</v>
      </c>
      <c r="W11" s="8">
        <f t="shared" si="36"/>
        <v>98921.450056279602</v>
      </c>
      <c r="X11" s="190">
        <f t="shared" si="5"/>
        <v>0</v>
      </c>
      <c r="Y11" s="190">
        <f t="shared" si="56"/>
        <v>0.98921450056279603</v>
      </c>
      <c r="Z11" s="8">
        <f t="shared" si="6"/>
        <v>0</v>
      </c>
      <c r="AA11" s="8">
        <f t="shared" si="63"/>
        <v>1</v>
      </c>
      <c r="AB11" s="8">
        <f t="shared" si="37"/>
        <v>0</v>
      </c>
      <c r="AC11" s="8">
        <f t="shared" si="43"/>
        <v>0</v>
      </c>
      <c r="AD11" s="8">
        <f t="shared" si="7"/>
        <v>0</v>
      </c>
      <c r="AE11" s="8">
        <f t="shared" si="44"/>
        <v>0</v>
      </c>
      <c r="AF11" s="8">
        <f t="shared" si="8"/>
        <v>0</v>
      </c>
      <c r="AG11" s="8">
        <f t="shared" si="45"/>
        <v>0</v>
      </c>
      <c r="AH11" s="8">
        <f t="shared" si="57"/>
        <v>0</v>
      </c>
      <c r="AI11" s="8">
        <f t="shared" si="46"/>
        <v>101000</v>
      </c>
      <c r="AJ11" s="167">
        <f t="shared" si="10"/>
        <v>0</v>
      </c>
      <c r="AK11" s="167">
        <f t="shared" si="58"/>
        <v>1.01</v>
      </c>
      <c r="AL11" s="109">
        <f t="shared" si="11"/>
        <v>0</v>
      </c>
      <c r="AM11" s="109">
        <f t="shared" si="47"/>
        <v>101000</v>
      </c>
      <c r="AN11" s="113">
        <f t="shared" si="12"/>
        <v>0</v>
      </c>
      <c r="AO11" s="137">
        <f t="shared" si="48"/>
        <v>1.01</v>
      </c>
      <c r="AP11" s="97">
        <f t="shared" si="13"/>
        <v>0</v>
      </c>
      <c r="AQ11" s="97">
        <f t="shared" si="49"/>
        <v>101000</v>
      </c>
      <c r="AR11" s="104">
        <f t="shared" si="14"/>
        <v>0</v>
      </c>
      <c r="AS11" s="125">
        <f t="shared" si="50"/>
        <v>1.01</v>
      </c>
      <c r="AT11" s="8"/>
      <c r="AU11" s="8"/>
      <c r="AV11" s="8"/>
      <c r="AW11" s="82">
        <f>IF(A11="","",IF(E11="L",H11,""))</f>
        <v>0</v>
      </c>
      <c r="AX11" s="13" t="e">
        <f>IF(A11="","",B11*EXP(-(0.693*3/VLOOKUP(A11,#REF!,2,FALSE))))</f>
        <v>#REF!</v>
      </c>
      <c r="AY11" s="8" t="e">
        <f>IF(A11="","",AX11/$B$1*1000)</f>
        <v>#REF!</v>
      </c>
      <c r="AZ11" s="12" t="str">
        <f>IF(A11="","",IF(H11&lt;=G11," to nie jest odpad !!!",IF(AND(C11&gt;30.2,H11&gt;400)," długożyciowy",IF(AY11&gt;G11," krótkożyciowy"," przejściowy"))))</f>
        <v xml:space="preserve"> to nie jest odpad !!!</v>
      </c>
      <c r="BA11" s="12" t="e">
        <f>IF(A11="","",VLOOKUP(A11,#REF!,8,FALSE))</f>
        <v>#REF!</v>
      </c>
      <c r="BB11" s="6" t="e">
        <f>IF(H11&lt;BA11,"cleared","")</f>
        <v>#REF!</v>
      </c>
      <c r="BC11" s="4">
        <f>IF(A11&lt;&gt;"",1,"")</f>
        <v>1</v>
      </c>
      <c r="BD11" s="4">
        <f>IF(AZ11=" to nie jest odpad !!!",1,"")</f>
        <v>1</v>
      </c>
      <c r="BE11" s="4" t="str">
        <f>IF(AZ11=" przejściowy",1,"")</f>
        <v/>
      </c>
      <c r="BF11" s="4" t="str">
        <f>IF(AZ11=" krótkożyciowy",1,"")</f>
        <v/>
      </c>
      <c r="BG11" s="4" t="str">
        <f>IF(AZ11=" długożyciowy",1,"")</f>
        <v/>
      </c>
      <c r="BH11" s="4" t="e">
        <f>IF(A11="","",VLOOKUP(A11,#REF!,11,FALSE))</f>
        <v>#REF!</v>
      </c>
      <c r="BI11" s="4" t="e">
        <f>IF(A11="","",B11*1000000*BH11)</f>
        <v>#REF!</v>
      </c>
      <c r="BJ11" s="32" t="e">
        <f>IF(A11="","",BI11*1000000)</f>
        <v>#REF!</v>
      </c>
      <c r="BK11" s="30" t="e">
        <f>IF(A11="","",BI11*16*1000)</f>
        <v>#REF!</v>
      </c>
      <c r="BL11" s="30" t="e">
        <f>IF(A11="","",BI11*10000*10)</f>
        <v>#REF!</v>
      </c>
      <c r="BM11" s="30" t="e">
        <f>IF(A11="","",BI11*10000*1000)</f>
        <v>#REF!</v>
      </c>
      <c r="BN11" s="4" t="e">
        <f>VLOOKUP(A11,#REF!,11,FALSE)</f>
        <v>#REF!</v>
      </c>
    </row>
    <row r="12" spans="1:66" s="4" customFormat="1" x14ac:dyDescent="0.2">
      <c r="A12" s="4" t="s">
        <v>3</v>
      </c>
      <c r="B12" s="136"/>
      <c r="C12" s="4">
        <f>IF(A12="","",VLOOKUP(A12,'D-Value_A1_A2_Exempted'!$A$2:$S$372,19,FALSE))</f>
        <v>432</v>
      </c>
      <c r="D12" s="173" t="str">
        <f t="shared" si="29"/>
        <v>Alpha</v>
      </c>
      <c r="E12" s="6" t="str">
        <f t="shared" si="60"/>
        <v>L</v>
      </c>
      <c r="F12" s="6" t="str">
        <f t="shared" si="61"/>
        <v/>
      </c>
      <c r="G12" s="84">
        <f>IF(A12="","",VLOOKUP(A12,'D-Value_A1_A2_Exempted'!$A$2:$S$372,17,FALSE))</f>
        <v>1</v>
      </c>
      <c r="H12" s="5">
        <f t="shared" si="30"/>
        <v>0</v>
      </c>
      <c r="I12" s="8">
        <f t="shared" si="39"/>
        <v>101000</v>
      </c>
      <c r="J12" s="8">
        <f t="shared" si="31"/>
        <v>101000</v>
      </c>
      <c r="K12" s="5">
        <f t="shared" si="32"/>
        <v>0</v>
      </c>
      <c r="L12" s="117">
        <f t="shared" si="40"/>
        <v>1.01</v>
      </c>
      <c r="M12" s="5">
        <f t="shared" si="33"/>
        <v>1.01</v>
      </c>
      <c r="N12" s="143">
        <f t="shared" si="59"/>
        <v>0</v>
      </c>
      <c r="O12" s="143">
        <f t="shared" si="53"/>
        <v>101000</v>
      </c>
      <c r="P12" s="143">
        <f>IF(Z12=1,P11+O12,J11)</f>
        <v>101000</v>
      </c>
      <c r="Q12" s="143">
        <f t="shared" si="34"/>
        <v>0</v>
      </c>
      <c r="R12" s="143">
        <f t="shared" si="55"/>
        <v>101000</v>
      </c>
      <c r="S12" s="143">
        <f t="shared" si="35"/>
        <v>0</v>
      </c>
      <c r="T12" s="143">
        <f t="shared" si="41"/>
        <v>0</v>
      </c>
      <c r="U12" s="8">
        <f t="shared" si="62"/>
        <v>0</v>
      </c>
      <c r="V12" s="82" t="str">
        <f t="shared" si="4"/>
        <v>0</v>
      </c>
      <c r="W12" s="8">
        <f t="shared" si="36"/>
        <v>98921.450056279602</v>
      </c>
      <c r="X12" s="190">
        <f t="shared" si="5"/>
        <v>0</v>
      </c>
      <c r="Y12" s="190">
        <f t="shared" si="56"/>
        <v>0.98921450056279603</v>
      </c>
      <c r="Z12" s="8">
        <f t="shared" si="6"/>
        <v>0</v>
      </c>
      <c r="AA12" s="8">
        <f t="shared" si="63"/>
        <v>1</v>
      </c>
      <c r="AB12" s="8">
        <f t="shared" si="37"/>
        <v>0</v>
      </c>
      <c r="AC12" s="8">
        <f t="shared" si="43"/>
        <v>0</v>
      </c>
      <c r="AD12" s="8">
        <f t="shared" si="7"/>
        <v>0</v>
      </c>
      <c r="AE12" s="8">
        <f t="shared" si="44"/>
        <v>0</v>
      </c>
      <c r="AF12" s="8">
        <f t="shared" si="8"/>
        <v>0</v>
      </c>
      <c r="AG12" s="8">
        <f t="shared" si="45"/>
        <v>0</v>
      </c>
      <c r="AH12" s="8">
        <f t="shared" si="57"/>
        <v>0</v>
      </c>
      <c r="AI12" s="8">
        <f t="shared" si="46"/>
        <v>101000</v>
      </c>
      <c r="AJ12" s="167">
        <f t="shared" si="10"/>
        <v>0</v>
      </c>
      <c r="AK12" s="167">
        <f t="shared" si="58"/>
        <v>1.01</v>
      </c>
      <c r="AL12" s="109">
        <f t="shared" si="11"/>
        <v>0</v>
      </c>
      <c r="AM12" s="109">
        <f t="shared" si="47"/>
        <v>101000</v>
      </c>
      <c r="AN12" s="113">
        <f t="shared" si="12"/>
        <v>0</v>
      </c>
      <c r="AO12" s="137">
        <f t="shared" si="48"/>
        <v>1.01</v>
      </c>
      <c r="AP12" s="97">
        <f t="shared" si="13"/>
        <v>0</v>
      </c>
      <c r="AQ12" s="97">
        <f t="shared" si="49"/>
        <v>101000</v>
      </c>
      <c r="AR12" s="104">
        <f t="shared" si="14"/>
        <v>0</v>
      </c>
      <c r="AS12" s="125">
        <f t="shared" si="50"/>
        <v>1.01</v>
      </c>
      <c r="AT12" s="8"/>
      <c r="AU12" s="8"/>
      <c r="AV12" s="8"/>
      <c r="AW12" s="82"/>
      <c r="AX12" s="13"/>
      <c r="AY12" s="8"/>
      <c r="AZ12" s="12"/>
      <c r="BA12" s="12"/>
      <c r="BB12" s="6"/>
      <c r="BJ12" s="32"/>
      <c r="BK12" s="30"/>
      <c r="BL12" s="30"/>
      <c r="BM12" s="30"/>
    </row>
    <row r="13" spans="1:66" s="4" customFormat="1" x14ac:dyDescent="0.2">
      <c r="A13" s="4" t="s">
        <v>235</v>
      </c>
      <c r="B13" s="136"/>
      <c r="C13" s="4">
        <f>IF(A13="","",VLOOKUP(A13,'D-Value_A1_A2_Exempted'!$A$2:$S$372,19,FALSE))</f>
        <v>1.01</v>
      </c>
      <c r="D13" s="173" t="str">
        <f t="shared" si="29"/>
        <v/>
      </c>
      <c r="E13" s="6" t="str">
        <f t="shared" si="60"/>
        <v/>
      </c>
      <c r="F13" s="6" t="str">
        <f t="shared" si="61"/>
        <v/>
      </c>
      <c r="G13" s="84">
        <f>IF(A13="","",VLOOKUP(A13,'D-Value_A1_A2_Exempted'!$A$2:$S$372,17,FALSE))</f>
        <v>100</v>
      </c>
      <c r="H13" s="5">
        <f t="shared" si="30"/>
        <v>0</v>
      </c>
      <c r="I13" s="8">
        <f t="shared" si="39"/>
        <v>101000</v>
      </c>
      <c r="J13" s="8">
        <f t="shared" si="31"/>
        <v>101000</v>
      </c>
      <c r="K13" s="5">
        <f t="shared" si="32"/>
        <v>0</v>
      </c>
      <c r="L13" s="117">
        <f t="shared" si="40"/>
        <v>1.01</v>
      </c>
      <c r="M13" s="5">
        <f t="shared" si="33"/>
        <v>1.01</v>
      </c>
      <c r="N13" s="143">
        <f t="shared" si="59"/>
        <v>0</v>
      </c>
      <c r="O13" s="143">
        <f t="shared" si="53"/>
        <v>101000</v>
      </c>
      <c r="P13" s="143">
        <f t="shared" si="54"/>
        <v>101000</v>
      </c>
      <c r="Q13" s="143">
        <f t="shared" si="34"/>
        <v>0</v>
      </c>
      <c r="R13" s="143">
        <f t="shared" si="55"/>
        <v>101000</v>
      </c>
      <c r="S13" s="143">
        <f t="shared" si="35"/>
        <v>0</v>
      </c>
      <c r="T13" s="143">
        <f t="shared" si="41"/>
        <v>0</v>
      </c>
      <c r="U13" s="8">
        <f t="shared" si="62"/>
        <v>0</v>
      </c>
      <c r="V13" s="82" t="str">
        <f t="shared" si="4"/>
        <v>0</v>
      </c>
      <c r="W13" s="8">
        <f t="shared" si="36"/>
        <v>98921.450056279602</v>
      </c>
      <c r="X13" s="190">
        <f t="shared" si="5"/>
        <v>0</v>
      </c>
      <c r="Y13" s="190">
        <f t="shared" si="56"/>
        <v>0.98921450056279603</v>
      </c>
      <c r="Z13" s="8">
        <f t="shared" si="6"/>
        <v>0</v>
      </c>
      <c r="AA13" s="8">
        <f t="shared" si="63"/>
        <v>1</v>
      </c>
      <c r="AB13" s="8">
        <f t="shared" si="37"/>
        <v>0</v>
      </c>
      <c r="AC13" s="8">
        <f t="shared" si="43"/>
        <v>0</v>
      </c>
      <c r="AD13" s="8">
        <f t="shared" si="7"/>
        <v>0</v>
      </c>
      <c r="AE13" s="8">
        <f t="shared" si="44"/>
        <v>0</v>
      </c>
      <c r="AF13" s="8">
        <f t="shared" si="8"/>
        <v>0</v>
      </c>
      <c r="AG13" s="8">
        <f t="shared" si="45"/>
        <v>0</v>
      </c>
      <c r="AH13" s="8">
        <f t="shared" si="57"/>
        <v>0</v>
      </c>
      <c r="AI13" s="8">
        <f t="shared" si="46"/>
        <v>101000</v>
      </c>
      <c r="AJ13" s="167">
        <f t="shared" si="10"/>
        <v>0</v>
      </c>
      <c r="AK13" s="167">
        <f t="shared" si="58"/>
        <v>1.01</v>
      </c>
      <c r="AL13" s="109">
        <f t="shared" si="11"/>
        <v>0</v>
      </c>
      <c r="AM13" s="109">
        <f t="shared" si="47"/>
        <v>101000</v>
      </c>
      <c r="AN13" s="113">
        <f t="shared" si="12"/>
        <v>0</v>
      </c>
      <c r="AO13" s="137">
        <f t="shared" si="48"/>
        <v>1.01</v>
      </c>
      <c r="AP13" s="97">
        <f t="shared" si="13"/>
        <v>0</v>
      </c>
      <c r="AQ13" s="97">
        <f t="shared" si="49"/>
        <v>101000</v>
      </c>
      <c r="AR13" s="104">
        <f t="shared" si="14"/>
        <v>0</v>
      </c>
      <c r="AS13" s="125">
        <f t="shared" si="50"/>
        <v>1.01</v>
      </c>
      <c r="AT13" s="8"/>
      <c r="AU13" s="8"/>
      <c r="AV13" s="8"/>
      <c r="AW13" s="82" t="str">
        <f>IF(A13="","",IF(E13="L",H13,""))</f>
        <v/>
      </c>
      <c r="AX13" s="13" t="e">
        <f>IF(A13="","",B13*EXP(-(0.693*3/VLOOKUP(A13,#REF!,2,FALSE))))</f>
        <v>#REF!</v>
      </c>
      <c r="AY13" s="8" t="e">
        <f>IF(A13="","",AX13/$B$1*1000)</f>
        <v>#REF!</v>
      </c>
      <c r="AZ13" s="12" t="str">
        <f>IF(A13="","",IF(H13&lt;=G13," to nie jest odpad !!!",IF(AND(C13&gt;30.2,H13&gt;400)," długożyciowy",IF(AY13&gt;G13," krótkożyciowy"," przejściowy"))))</f>
        <v xml:space="preserve"> to nie jest odpad !!!</v>
      </c>
      <c r="BA13" s="12" t="e">
        <f>IF(A13="","",VLOOKUP(A13,#REF!,8,FALSE))</f>
        <v>#REF!</v>
      </c>
      <c r="BB13" s="6" t="e">
        <f>IF(H13&lt;BA13,"cleared","")</f>
        <v>#REF!</v>
      </c>
      <c r="BC13" s="4">
        <f>IF(A13&lt;&gt;"",1,"")</f>
        <v>1</v>
      </c>
      <c r="BD13" s="4">
        <f t="shared" si="20"/>
        <v>1</v>
      </c>
      <c r="BE13" s="4" t="str">
        <f t="shared" si="21"/>
        <v/>
      </c>
      <c r="BF13" s="4" t="str">
        <f t="shared" si="22"/>
        <v/>
      </c>
      <c r="BG13" s="4" t="str">
        <f t="shared" si="23"/>
        <v/>
      </c>
      <c r="BH13" s="4" t="e">
        <f>IF(A13="","",VLOOKUP(A13,#REF!,11,FALSE))</f>
        <v>#REF!</v>
      </c>
      <c r="BI13" s="4" t="e">
        <f>IF(A13="","",B13*1000000*BH13)</f>
        <v>#REF!</v>
      </c>
      <c r="BJ13" s="32" t="e">
        <f>IF(A13="","",BI13*1000000)</f>
        <v>#REF!</v>
      </c>
      <c r="BK13" s="30" t="e">
        <f>IF(A13="","",BI13*16*1000)</f>
        <v>#REF!</v>
      </c>
      <c r="BL13" s="30" t="e">
        <f>IF(A13="","",BI13*10000*10)</f>
        <v>#REF!</v>
      </c>
      <c r="BM13" s="30" t="e">
        <f>IF(A13="","",BI13*10000*1000)</f>
        <v>#REF!</v>
      </c>
      <c r="BN13" s="4" t="e">
        <f>VLOOKUP(A13,#REF!,11,FALSE)</f>
        <v>#REF!</v>
      </c>
    </row>
    <row r="14" spans="1:66" s="4" customFormat="1" x14ac:dyDescent="0.2">
      <c r="A14" s="4" t="s">
        <v>330</v>
      </c>
      <c r="B14" s="136"/>
      <c r="C14" s="4">
        <f>IF(A14="","",VLOOKUP(A14,'D-Value_A1_A2_Exempted'!$A$2:$S$372,19,FALSE))</f>
        <v>3.0820000000000001E-3</v>
      </c>
      <c r="D14" s="173" t="str">
        <f t="shared" si="29"/>
        <v/>
      </c>
      <c r="E14" s="6" t="str">
        <f t="shared" si="60"/>
        <v/>
      </c>
      <c r="F14" s="6" t="str">
        <f t="shared" si="61"/>
        <v/>
      </c>
      <c r="G14" s="84">
        <f>IF(A14="","",VLOOKUP(A14,'D-Value_A1_A2_Exempted'!$A$2:$S$372,17,FALSE))</f>
        <v>100000</v>
      </c>
      <c r="H14" s="5">
        <f t="shared" si="30"/>
        <v>0</v>
      </c>
      <c r="I14" s="8">
        <f t="shared" si="39"/>
        <v>101000</v>
      </c>
      <c r="J14" s="8">
        <f t="shared" si="31"/>
        <v>101000</v>
      </c>
      <c r="K14" s="5">
        <f t="shared" si="32"/>
        <v>0</v>
      </c>
      <c r="L14" s="117">
        <f t="shared" si="40"/>
        <v>1.01</v>
      </c>
      <c r="M14" s="5">
        <f t="shared" si="33"/>
        <v>1.01</v>
      </c>
      <c r="N14" s="143">
        <f t="shared" si="59"/>
        <v>0</v>
      </c>
      <c r="O14" s="143">
        <f t="shared" si="53"/>
        <v>101000</v>
      </c>
      <c r="P14" s="143">
        <f t="shared" si="54"/>
        <v>101000</v>
      </c>
      <c r="Q14" s="143">
        <f t="shared" si="34"/>
        <v>0</v>
      </c>
      <c r="R14" s="143">
        <f t="shared" si="55"/>
        <v>101000</v>
      </c>
      <c r="S14" s="143">
        <f t="shared" si="35"/>
        <v>0</v>
      </c>
      <c r="T14" s="143">
        <f t="shared" si="41"/>
        <v>0</v>
      </c>
      <c r="U14" s="8">
        <f t="shared" si="62"/>
        <v>0</v>
      </c>
      <c r="V14" s="82" t="str">
        <f t="shared" si="4"/>
        <v>0</v>
      </c>
      <c r="W14" s="8">
        <f t="shared" si="36"/>
        <v>98921.450056279602</v>
      </c>
      <c r="X14" s="190">
        <f t="shared" si="5"/>
        <v>0</v>
      </c>
      <c r="Y14" s="190">
        <f t="shared" si="56"/>
        <v>0.98921450056279603</v>
      </c>
      <c r="Z14" s="8">
        <f t="shared" si="6"/>
        <v>0</v>
      </c>
      <c r="AA14" s="8">
        <f t="shared" si="63"/>
        <v>1</v>
      </c>
      <c r="AB14" s="8">
        <f t="shared" si="37"/>
        <v>0</v>
      </c>
      <c r="AC14" s="8">
        <f t="shared" si="43"/>
        <v>0</v>
      </c>
      <c r="AD14" s="8">
        <f t="shared" si="7"/>
        <v>0</v>
      </c>
      <c r="AE14" s="8">
        <f t="shared" si="44"/>
        <v>0</v>
      </c>
      <c r="AF14" s="8">
        <f t="shared" si="8"/>
        <v>0</v>
      </c>
      <c r="AG14" s="8">
        <f t="shared" si="45"/>
        <v>0</v>
      </c>
      <c r="AH14" s="8">
        <f t="shared" si="57"/>
        <v>0</v>
      </c>
      <c r="AI14" s="8">
        <f t="shared" si="46"/>
        <v>101000</v>
      </c>
      <c r="AJ14" s="167">
        <f t="shared" si="10"/>
        <v>0</v>
      </c>
      <c r="AK14" s="167">
        <f t="shared" si="58"/>
        <v>1.01</v>
      </c>
      <c r="AL14" s="109">
        <f t="shared" si="11"/>
        <v>0</v>
      </c>
      <c r="AM14" s="109">
        <f t="shared" si="47"/>
        <v>101000</v>
      </c>
      <c r="AN14" s="113">
        <f t="shared" si="12"/>
        <v>0</v>
      </c>
      <c r="AO14" s="137">
        <f t="shared" si="48"/>
        <v>1.01</v>
      </c>
      <c r="AP14" s="97">
        <f t="shared" si="13"/>
        <v>0</v>
      </c>
      <c r="AQ14" s="97">
        <f t="shared" si="49"/>
        <v>101000</v>
      </c>
      <c r="AR14" s="104">
        <f t="shared" si="14"/>
        <v>0</v>
      </c>
      <c r="AS14" s="125">
        <f t="shared" si="50"/>
        <v>1.01</v>
      </c>
      <c r="AT14" s="8"/>
      <c r="AU14" s="8"/>
      <c r="AV14" s="8"/>
      <c r="AW14" s="82" t="str">
        <f>IF(A14="","",IF(E14="L",H14,""))</f>
        <v/>
      </c>
      <c r="AX14" s="13" t="e">
        <f>IF(A14="","",B14*EXP(-(0.693*3/VLOOKUP(A14,#REF!,2,FALSE))))</f>
        <v>#REF!</v>
      </c>
      <c r="AY14" s="8" t="e">
        <f>IF(A14="","",AX14/$B$1*1000)</f>
        <v>#REF!</v>
      </c>
      <c r="AZ14" s="12" t="str">
        <f>IF(A14="","",IF(H14&lt;=G14," to nie jest odpad !!!",IF(AND(C14&gt;30.2,H14&gt;400)," długożyciowy",IF(AY14&gt;G14," krótkożyciowy"," przejściowy"))))</f>
        <v xml:space="preserve"> to nie jest odpad !!!</v>
      </c>
      <c r="BA14" s="12" t="e">
        <f>IF(A14="","",VLOOKUP(A14,#REF!,8,FALSE))</f>
        <v>#REF!</v>
      </c>
      <c r="BB14" s="6" t="e">
        <f>IF(H14&lt;BA14,"cleared","")</f>
        <v>#REF!</v>
      </c>
      <c r="BC14" s="4">
        <f>IF(A14&lt;&gt;"",1,"")</f>
        <v>1</v>
      </c>
      <c r="BD14" s="4">
        <f t="shared" si="20"/>
        <v>1</v>
      </c>
      <c r="BE14" s="4" t="str">
        <f t="shared" si="21"/>
        <v/>
      </c>
      <c r="BF14" s="4" t="str">
        <f t="shared" si="22"/>
        <v/>
      </c>
      <c r="BG14" s="4" t="str">
        <f t="shared" si="23"/>
        <v/>
      </c>
      <c r="BH14" s="4" t="e">
        <f>IF(A14="","",VLOOKUP(A14,#REF!,11,FALSE))</f>
        <v>#REF!</v>
      </c>
      <c r="BI14" s="4" t="e">
        <f>IF(A14="","",B14*1000000*BH14)</f>
        <v>#REF!</v>
      </c>
      <c r="BJ14" s="32" t="e">
        <f>IF(A14="","",BI14*1000000)</f>
        <v>#REF!</v>
      </c>
      <c r="BK14" s="30" t="e">
        <f>IF(A14="","",BI14*16*1000)</f>
        <v>#REF!</v>
      </c>
      <c r="BL14" s="30" t="e">
        <f>IF(A14="","",BI14*10000*10)</f>
        <v>#REF!</v>
      </c>
      <c r="BM14" s="30" t="e">
        <f>IF(A14="","",BI14*10000*1000)</f>
        <v>#REF!</v>
      </c>
      <c r="BN14" s="4" t="e">
        <f>VLOOKUP(A14,#REF!,11,FALSE)</f>
        <v>#REF!</v>
      </c>
    </row>
    <row r="15" spans="1:66" s="4" customFormat="1" x14ac:dyDescent="0.2">
      <c r="A15" s="4" t="s">
        <v>232</v>
      </c>
      <c r="B15" s="136"/>
      <c r="C15" s="4">
        <f>IF(A15="","",VLOOKUP(A15,'D-Value_A1_A2_Exempted'!$A$2:$S$372,19,FALSE))</f>
        <v>29.1</v>
      </c>
      <c r="D15" s="173" t="str">
        <f t="shared" si="29"/>
        <v/>
      </c>
      <c r="E15" s="6" t="str">
        <f t="shared" si="60"/>
        <v/>
      </c>
      <c r="F15" s="6" t="str">
        <f t="shared" si="61"/>
        <v/>
      </c>
      <c r="G15" s="84">
        <f>IF(A15="","",VLOOKUP(A15,'D-Value_A1_A2_Exempted'!$A$2:$S$372,17,FALSE))</f>
        <v>100</v>
      </c>
      <c r="H15" s="5">
        <f t="shared" si="30"/>
        <v>0</v>
      </c>
      <c r="I15" s="8">
        <f t="shared" si="39"/>
        <v>101000</v>
      </c>
      <c r="J15" s="8">
        <f t="shared" si="31"/>
        <v>101000</v>
      </c>
      <c r="K15" s="5">
        <f t="shared" si="32"/>
        <v>0</v>
      </c>
      <c r="L15" s="117">
        <f t="shared" si="40"/>
        <v>1.01</v>
      </c>
      <c r="M15" s="5">
        <f t="shared" si="33"/>
        <v>1.01</v>
      </c>
      <c r="N15" s="143">
        <f t="shared" si="59"/>
        <v>0</v>
      </c>
      <c r="O15" s="143">
        <f t="shared" si="53"/>
        <v>101000</v>
      </c>
      <c r="P15" s="143">
        <f t="shared" si="54"/>
        <v>101000</v>
      </c>
      <c r="Q15" s="143">
        <f t="shared" si="34"/>
        <v>0</v>
      </c>
      <c r="R15" s="143">
        <f t="shared" si="55"/>
        <v>101000</v>
      </c>
      <c r="S15" s="143">
        <f t="shared" si="35"/>
        <v>0</v>
      </c>
      <c r="T15" s="143">
        <f t="shared" si="41"/>
        <v>0</v>
      </c>
      <c r="U15" s="8">
        <f t="shared" si="62"/>
        <v>0</v>
      </c>
      <c r="V15" s="82" t="str">
        <f t="shared" si="4"/>
        <v>0</v>
      </c>
      <c r="W15" s="8">
        <f t="shared" si="36"/>
        <v>98921.450056279602</v>
      </c>
      <c r="X15" s="190">
        <f t="shared" si="5"/>
        <v>0</v>
      </c>
      <c r="Y15" s="190">
        <f t="shared" si="56"/>
        <v>0.98921450056279603</v>
      </c>
      <c r="Z15" s="8">
        <f t="shared" si="6"/>
        <v>0</v>
      </c>
      <c r="AA15" s="8">
        <f t="shared" si="63"/>
        <v>1</v>
      </c>
      <c r="AB15" s="8">
        <f t="shared" si="37"/>
        <v>0</v>
      </c>
      <c r="AC15" s="8">
        <f t="shared" si="43"/>
        <v>0</v>
      </c>
      <c r="AD15" s="8">
        <f t="shared" si="7"/>
        <v>0</v>
      </c>
      <c r="AE15" s="8">
        <f t="shared" si="44"/>
        <v>0</v>
      </c>
      <c r="AF15" s="8">
        <f t="shared" si="8"/>
        <v>0</v>
      </c>
      <c r="AG15" s="8">
        <f t="shared" si="45"/>
        <v>0</v>
      </c>
      <c r="AH15" s="8">
        <f t="shared" si="57"/>
        <v>0</v>
      </c>
      <c r="AI15" s="8">
        <f t="shared" si="46"/>
        <v>101000</v>
      </c>
      <c r="AJ15" s="167">
        <f t="shared" si="10"/>
        <v>0</v>
      </c>
      <c r="AK15" s="167">
        <f t="shared" si="58"/>
        <v>1.01</v>
      </c>
      <c r="AL15" s="109">
        <f t="shared" si="11"/>
        <v>0</v>
      </c>
      <c r="AM15" s="109">
        <f t="shared" si="47"/>
        <v>101000</v>
      </c>
      <c r="AN15" s="113">
        <f t="shared" si="12"/>
        <v>0</v>
      </c>
      <c r="AO15" s="137">
        <f t="shared" si="48"/>
        <v>1.01</v>
      </c>
      <c r="AP15" s="97">
        <f t="shared" si="13"/>
        <v>0</v>
      </c>
      <c r="AQ15" s="97">
        <f t="shared" si="49"/>
        <v>101000</v>
      </c>
      <c r="AR15" s="104">
        <f t="shared" si="14"/>
        <v>0</v>
      </c>
      <c r="AS15" s="125">
        <f t="shared" si="50"/>
        <v>1.01</v>
      </c>
      <c r="AT15" s="8"/>
      <c r="AU15" s="8"/>
      <c r="AV15" s="8"/>
      <c r="AW15" s="82" t="str">
        <f>IF(A15="","",IF(E15="L",H15,""))</f>
        <v/>
      </c>
      <c r="AX15" s="13" t="e">
        <f>IF(A15="","",B15*EXP(-(0.693*3/VLOOKUP(A15,#REF!,2,FALSE))))</f>
        <v>#REF!</v>
      </c>
      <c r="AY15" s="8" t="e">
        <f>IF(A15="","",AX15/$B$1*1000)</f>
        <v>#REF!</v>
      </c>
      <c r="AZ15" s="12" t="str">
        <f>IF(A15="","",IF(H15&lt;=G15," to nie jest odpad !!!",IF(AND(C15&gt;30.2,H15&gt;400)," długożyciowy",IF(AY15&gt;G15," krótkożyciowy"," przejściowy"))))</f>
        <v xml:space="preserve"> to nie jest odpad !!!</v>
      </c>
      <c r="BA15" s="12" t="e">
        <f>IF(A15="","",VLOOKUP(A15,#REF!,8,FALSE))</f>
        <v>#REF!</v>
      </c>
      <c r="BB15" s="6" t="e">
        <f>IF(H15&lt;BA15,"cleared","")</f>
        <v>#REF!</v>
      </c>
      <c r="BC15" s="4">
        <f>IF(A15&lt;&gt;"",1,"")</f>
        <v>1</v>
      </c>
      <c r="BD15" s="4">
        <f t="shared" si="20"/>
        <v>1</v>
      </c>
      <c r="BE15" s="4" t="str">
        <f t="shared" si="21"/>
        <v/>
      </c>
      <c r="BF15" s="4" t="str">
        <f t="shared" si="22"/>
        <v/>
      </c>
      <c r="BG15" s="4" t="str">
        <f t="shared" si="23"/>
        <v/>
      </c>
      <c r="BH15" s="4" t="e">
        <f>IF(A15="","",VLOOKUP(A15,#REF!,11,FALSE))</f>
        <v>#REF!</v>
      </c>
      <c r="BI15" s="4" t="e">
        <f>IF(A15="","",B15*1000000*BH15)</f>
        <v>#REF!</v>
      </c>
      <c r="BJ15" s="32" t="e">
        <f>IF(A15="","",BI15*1000000)</f>
        <v>#REF!</v>
      </c>
      <c r="BK15" s="30" t="e">
        <f>IF(A15="","",BI15*16*1000)</f>
        <v>#REF!</v>
      </c>
      <c r="BL15" s="30" t="e">
        <f>IF(A15="","",BI15*10000*10)</f>
        <v>#REF!</v>
      </c>
      <c r="BM15" s="30" t="e">
        <f>IF(A15="","",BI15*10000*1000)</f>
        <v>#REF!</v>
      </c>
      <c r="BN15" s="4" t="e">
        <f>VLOOKUP(A15,#REF!,11,FALSE)</f>
        <v>#REF!</v>
      </c>
    </row>
    <row r="16" spans="1:66" s="4" customFormat="1" x14ac:dyDescent="0.2">
      <c r="A16" s="4" t="s">
        <v>109</v>
      </c>
      <c r="B16" s="136"/>
      <c r="C16" s="4">
        <f>IF(A16="","",VLOOKUP(A16,'D-Value_A1_A2_Exempted'!$A$2:$S$372,19,FALSE))</f>
        <v>8.7679999999999998E-3</v>
      </c>
      <c r="D16" s="173" t="str">
        <f t="shared" si="29"/>
        <v/>
      </c>
      <c r="E16" s="6" t="str">
        <f t="shared" si="60"/>
        <v/>
      </c>
      <c r="F16" s="6" t="str">
        <f t="shared" si="61"/>
        <v/>
      </c>
      <c r="G16" s="84">
        <f>IF(A16="","",VLOOKUP(A16,'D-Value_A1_A2_Exempted'!$A$2:$S$372,17,FALSE))</f>
        <v>100</v>
      </c>
      <c r="H16" s="5">
        <f t="shared" si="30"/>
        <v>0</v>
      </c>
      <c r="I16" s="8">
        <f t="shared" si="39"/>
        <v>101000</v>
      </c>
      <c r="J16" s="8">
        <f t="shared" si="31"/>
        <v>101000</v>
      </c>
      <c r="K16" s="5">
        <f t="shared" si="32"/>
        <v>0</v>
      </c>
      <c r="L16" s="117">
        <f t="shared" si="40"/>
        <v>1.01</v>
      </c>
      <c r="M16" s="5">
        <f t="shared" si="33"/>
        <v>1.01</v>
      </c>
      <c r="N16" s="143">
        <f t="shared" si="59"/>
        <v>0</v>
      </c>
      <c r="O16" s="143">
        <f t="shared" si="53"/>
        <v>101000</v>
      </c>
      <c r="P16" s="143">
        <f t="shared" si="54"/>
        <v>101000</v>
      </c>
      <c r="Q16" s="143">
        <f t="shared" si="34"/>
        <v>0</v>
      </c>
      <c r="R16" s="143">
        <f t="shared" si="55"/>
        <v>101000</v>
      </c>
      <c r="S16" s="143">
        <f t="shared" si="35"/>
        <v>0</v>
      </c>
      <c r="T16" s="143">
        <f t="shared" si="41"/>
        <v>0</v>
      </c>
      <c r="U16" s="8">
        <f t="shared" si="62"/>
        <v>0</v>
      </c>
      <c r="V16" s="82" t="str">
        <f t="shared" si="4"/>
        <v>0</v>
      </c>
      <c r="W16" s="8">
        <f t="shared" si="36"/>
        <v>98921.450056279602</v>
      </c>
      <c r="X16" s="190">
        <f t="shared" si="5"/>
        <v>0</v>
      </c>
      <c r="Y16" s="190">
        <f t="shared" si="56"/>
        <v>0.98921450056279603</v>
      </c>
      <c r="Z16" s="8">
        <f t="shared" si="6"/>
        <v>0</v>
      </c>
      <c r="AA16" s="8">
        <f t="shared" si="63"/>
        <v>1</v>
      </c>
      <c r="AB16" s="8">
        <f t="shared" si="37"/>
        <v>0</v>
      </c>
      <c r="AC16" s="8">
        <f t="shared" si="43"/>
        <v>0</v>
      </c>
      <c r="AD16" s="8">
        <f t="shared" si="7"/>
        <v>0</v>
      </c>
      <c r="AE16" s="8">
        <f t="shared" si="44"/>
        <v>0</v>
      </c>
      <c r="AF16" s="8">
        <f t="shared" si="8"/>
        <v>0</v>
      </c>
      <c r="AG16" s="8">
        <f t="shared" si="45"/>
        <v>0</v>
      </c>
      <c r="AH16" s="8">
        <f t="shared" si="57"/>
        <v>0</v>
      </c>
      <c r="AI16" s="8">
        <f t="shared" si="46"/>
        <v>101000</v>
      </c>
      <c r="AJ16" s="167">
        <f t="shared" si="10"/>
        <v>0</v>
      </c>
      <c r="AK16" s="167">
        <f t="shared" si="58"/>
        <v>1.01</v>
      </c>
      <c r="AL16" s="109">
        <f t="shared" si="11"/>
        <v>0</v>
      </c>
      <c r="AM16" s="109">
        <f t="shared" si="47"/>
        <v>101000</v>
      </c>
      <c r="AN16" s="113">
        <f t="shared" si="12"/>
        <v>0</v>
      </c>
      <c r="AO16" s="137">
        <f t="shared" si="48"/>
        <v>1.01</v>
      </c>
      <c r="AP16" s="97">
        <f t="shared" si="13"/>
        <v>0</v>
      </c>
      <c r="AQ16" s="97">
        <f t="shared" si="49"/>
        <v>101000</v>
      </c>
      <c r="AR16" s="104">
        <f t="shared" si="14"/>
        <v>0</v>
      </c>
      <c r="AS16" s="125">
        <f t="shared" si="50"/>
        <v>1.01</v>
      </c>
      <c r="AT16" s="8"/>
      <c r="AU16" s="8"/>
      <c r="AV16" s="8"/>
      <c r="AW16" s="82" t="str">
        <f>IF(A16="","",IF(E16="L",H16,""))</f>
        <v/>
      </c>
      <c r="AX16" s="13" t="e">
        <f>IF(A16="","",B16*EXP(-(0.693*3/VLOOKUP(A16,#REF!,2,FALSE))))</f>
        <v>#REF!</v>
      </c>
      <c r="AY16" s="8" t="e">
        <f>IF(A16="","",AX16/$B$1*1000)</f>
        <v>#REF!</v>
      </c>
      <c r="AZ16" s="12" t="str">
        <f>IF(A16="","",IF(H16&lt;=G16," to nie jest odpad !!!",IF(AND(C16&gt;30.2,H16&gt;400)," długożyciowy",IF(AY16&gt;G16," krótkożyciowy"," przejściowy"))))</f>
        <v xml:space="preserve"> to nie jest odpad !!!</v>
      </c>
      <c r="BA16" s="12" t="e">
        <f>IF(A16="","",VLOOKUP(A16,#REF!,8,FALSE))</f>
        <v>#REF!</v>
      </c>
      <c r="BB16" s="6" t="e">
        <f>IF(H16&lt;BA16,"cleared","")</f>
        <v>#REF!</v>
      </c>
      <c r="BC16" s="4">
        <f>IF(A16&lt;&gt;"",1,"")</f>
        <v>1</v>
      </c>
      <c r="BD16" s="4">
        <f t="shared" si="20"/>
        <v>1</v>
      </c>
      <c r="BE16" s="4" t="str">
        <f t="shared" si="21"/>
        <v/>
      </c>
      <c r="BF16" s="4" t="str">
        <f t="shared" si="22"/>
        <v/>
      </c>
      <c r="BG16" s="4" t="str">
        <f t="shared" si="23"/>
        <v/>
      </c>
      <c r="BH16" s="4" t="e">
        <f>IF(A16="","",VLOOKUP(A16,#REF!,11,FALSE))</f>
        <v>#REF!</v>
      </c>
      <c r="BI16" s="4" t="e">
        <f>IF(A16="","",B16*1000000*BH16)</f>
        <v>#REF!</v>
      </c>
      <c r="BJ16" s="32" t="e">
        <f>IF(A16="","",BI16*1000000)</f>
        <v>#REF!</v>
      </c>
      <c r="BK16" s="30" t="e">
        <f>IF(A16="","",BI16*16*1000)</f>
        <v>#REF!</v>
      </c>
      <c r="BL16" s="30" t="e">
        <f>IF(A16="","",BI16*10000*10)</f>
        <v>#REF!</v>
      </c>
      <c r="BM16" s="30" t="e">
        <f>IF(A16="","",BI16*10000*1000)</f>
        <v>#REF!</v>
      </c>
      <c r="BN16" s="4" t="e">
        <f>VLOOKUP(A16,#REF!,11,FALSE)</f>
        <v>#REF!</v>
      </c>
    </row>
    <row r="17" spans="1:66" s="4" customFormat="1" x14ac:dyDescent="0.2">
      <c r="A17" s="4" t="s">
        <v>263</v>
      </c>
      <c r="B17" s="136"/>
      <c r="C17" s="4">
        <f>IF(A17="","",VLOOKUP(A17,'D-Value_A1_A2_Exempted'!$A$2:$S$372,19,FALSE))</f>
        <v>14000000000</v>
      </c>
      <c r="D17" s="173" t="str">
        <f t="shared" si="29"/>
        <v>Alpha</v>
      </c>
      <c r="E17" s="6" t="str">
        <f t="shared" si="60"/>
        <v>L</v>
      </c>
      <c r="F17" s="6" t="str">
        <f t="shared" si="61"/>
        <v/>
      </c>
      <c r="G17" s="84">
        <f>IF(A17="","",VLOOKUP(A17,'D-Value_A1_A2_Exempted'!$A$2:$S$372,17,FALSE))</f>
        <v>10</v>
      </c>
      <c r="H17" s="5">
        <f t="shared" si="30"/>
        <v>0</v>
      </c>
      <c r="I17" s="8">
        <f t="shared" si="39"/>
        <v>101000</v>
      </c>
      <c r="J17" s="8">
        <f t="shared" si="31"/>
        <v>101000</v>
      </c>
      <c r="K17" s="5">
        <f t="shared" si="32"/>
        <v>0</v>
      </c>
      <c r="L17" s="117">
        <f t="shared" si="40"/>
        <v>1.01</v>
      </c>
      <c r="M17" s="5">
        <f t="shared" si="33"/>
        <v>1.01</v>
      </c>
      <c r="N17" s="143">
        <f t="shared" si="59"/>
        <v>0</v>
      </c>
      <c r="O17" s="143">
        <f t="shared" si="53"/>
        <v>101000</v>
      </c>
      <c r="P17" s="143">
        <f t="shared" si="54"/>
        <v>101000</v>
      </c>
      <c r="Q17" s="143">
        <f t="shared" si="34"/>
        <v>0</v>
      </c>
      <c r="R17" s="143">
        <f t="shared" si="55"/>
        <v>101000</v>
      </c>
      <c r="S17" s="143">
        <f t="shared" si="35"/>
        <v>0</v>
      </c>
      <c r="T17" s="143">
        <f t="shared" si="41"/>
        <v>0</v>
      </c>
      <c r="U17" s="8">
        <f t="shared" si="62"/>
        <v>0</v>
      </c>
      <c r="V17" s="82" t="str">
        <f t="shared" si="4"/>
        <v>0</v>
      </c>
      <c r="W17" s="8">
        <f t="shared" si="36"/>
        <v>98921.450056279602</v>
      </c>
      <c r="X17" s="190">
        <f t="shared" si="5"/>
        <v>0</v>
      </c>
      <c r="Y17" s="190">
        <f t="shared" si="56"/>
        <v>0.98921450056279603</v>
      </c>
      <c r="Z17" s="8">
        <f t="shared" si="6"/>
        <v>0</v>
      </c>
      <c r="AA17" s="8">
        <f t="shared" si="63"/>
        <v>1</v>
      </c>
      <c r="AB17" s="8">
        <f t="shared" si="37"/>
        <v>0</v>
      </c>
      <c r="AC17" s="8">
        <f t="shared" si="43"/>
        <v>0</v>
      </c>
      <c r="AD17" s="8">
        <f t="shared" si="7"/>
        <v>0</v>
      </c>
      <c r="AE17" s="8">
        <f t="shared" si="44"/>
        <v>0</v>
      </c>
      <c r="AF17" s="8">
        <f t="shared" si="8"/>
        <v>0</v>
      </c>
      <c r="AG17" s="8">
        <f t="shared" si="45"/>
        <v>0</v>
      </c>
      <c r="AH17" s="8">
        <f t="shared" si="57"/>
        <v>0</v>
      </c>
      <c r="AI17" s="8">
        <f t="shared" si="46"/>
        <v>101000</v>
      </c>
      <c r="AJ17" s="167">
        <f t="shared" si="10"/>
        <v>0</v>
      </c>
      <c r="AK17" s="167">
        <f t="shared" si="58"/>
        <v>1.01</v>
      </c>
      <c r="AL17" s="109">
        <f t="shared" si="11"/>
        <v>0</v>
      </c>
      <c r="AM17" s="109">
        <f t="shared" si="47"/>
        <v>101000</v>
      </c>
      <c r="AN17" s="113">
        <f t="shared" si="12"/>
        <v>0</v>
      </c>
      <c r="AO17" s="137">
        <f t="shared" si="48"/>
        <v>1.01</v>
      </c>
      <c r="AP17" s="97">
        <f t="shared" si="13"/>
        <v>0</v>
      </c>
      <c r="AQ17" s="97">
        <f t="shared" si="49"/>
        <v>101000</v>
      </c>
      <c r="AR17" s="104">
        <f t="shared" si="14"/>
        <v>0</v>
      </c>
      <c r="AS17" s="125">
        <f t="shared" si="50"/>
        <v>1.01</v>
      </c>
      <c r="AT17" s="8"/>
      <c r="AU17" s="8"/>
      <c r="AV17" s="8"/>
      <c r="AW17" s="82"/>
      <c r="AX17" s="13"/>
      <c r="AY17" s="8"/>
      <c r="AZ17" s="12"/>
      <c r="BA17" s="12"/>
      <c r="BB17" s="6"/>
      <c r="BJ17" s="32"/>
      <c r="BK17" s="30"/>
      <c r="BL17" s="30"/>
      <c r="BM17" s="30"/>
    </row>
    <row r="18" spans="1:66" s="4" customFormat="1" x14ac:dyDescent="0.2">
      <c r="A18" s="4" t="s">
        <v>190</v>
      </c>
      <c r="B18" s="83"/>
      <c r="C18" s="4">
        <f>IF(A18="","",VLOOKUP(A18,'D-Value_A1_A2_Exempted'!$A$2:$S$372,19,FALSE))</f>
        <v>87.7</v>
      </c>
      <c r="D18" s="173" t="str">
        <f t="shared" si="29"/>
        <v>Alpha</v>
      </c>
      <c r="E18" s="6" t="str">
        <f t="shared" si="60"/>
        <v>L</v>
      </c>
      <c r="F18" s="6" t="str">
        <f t="shared" si="61"/>
        <v/>
      </c>
      <c r="G18" s="84">
        <f>IF(A18="","",VLOOKUP(A18,'D-Value_A1_A2_Exempted'!$A$2:$S$372,17,FALSE))</f>
        <v>1</v>
      </c>
      <c r="H18" s="5">
        <f t="shared" si="30"/>
        <v>0</v>
      </c>
      <c r="I18" s="8">
        <f t="shared" si="39"/>
        <v>101000</v>
      </c>
      <c r="J18" s="8">
        <f t="shared" si="31"/>
        <v>101000</v>
      </c>
      <c r="K18" s="5">
        <f t="shared" si="32"/>
        <v>0</v>
      </c>
      <c r="L18" s="117">
        <f t="shared" si="40"/>
        <v>1.01</v>
      </c>
      <c r="M18" s="5">
        <f t="shared" si="33"/>
        <v>1.01</v>
      </c>
      <c r="N18" s="143">
        <f t="shared" si="59"/>
        <v>0</v>
      </c>
      <c r="O18" s="143">
        <f t="shared" si="53"/>
        <v>101000</v>
      </c>
      <c r="P18" s="143">
        <f t="shared" si="54"/>
        <v>101000</v>
      </c>
      <c r="Q18" s="143">
        <f t="shared" si="34"/>
        <v>0</v>
      </c>
      <c r="R18" s="143">
        <f t="shared" si="55"/>
        <v>101000</v>
      </c>
      <c r="S18" s="143">
        <f t="shared" si="35"/>
        <v>0</v>
      </c>
      <c r="T18" s="143">
        <f t="shared" si="41"/>
        <v>0</v>
      </c>
      <c r="U18" s="8">
        <f t="shared" si="62"/>
        <v>0</v>
      </c>
      <c r="V18" s="82" t="str">
        <f t="shared" si="4"/>
        <v>0</v>
      </c>
      <c r="W18" s="8">
        <f t="shared" si="36"/>
        <v>98921.450056279602</v>
      </c>
      <c r="X18" s="190">
        <f t="shared" si="5"/>
        <v>0</v>
      </c>
      <c r="Y18" s="190">
        <f t="shared" si="56"/>
        <v>0.98921450056279603</v>
      </c>
      <c r="Z18" s="8">
        <f t="shared" si="6"/>
        <v>0</v>
      </c>
      <c r="AA18" s="8">
        <f t="shared" si="63"/>
        <v>1</v>
      </c>
      <c r="AB18" s="8">
        <f t="shared" si="37"/>
        <v>0</v>
      </c>
      <c r="AC18" s="8">
        <f t="shared" si="43"/>
        <v>0</v>
      </c>
      <c r="AD18" s="8">
        <f t="shared" si="7"/>
        <v>0</v>
      </c>
      <c r="AE18" s="8">
        <f t="shared" si="44"/>
        <v>0</v>
      </c>
      <c r="AF18" s="8">
        <f t="shared" si="8"/>
        <v>0</v>
      </c>
      <c r="AG18" s="8">
        <f t="shared" si="45"/>
        <v>0</v>
      </c>
      <c r="AH18" s="8">
        <f t="shared" si="57"/>
        <v>0</v>
      </c>
      <c r="AI18" s="8">
        <f t="shared" si="46"/>
        <v>101000</v>
      </c>
      <c r="AJ18" s="167">
        <f t="shared" si="10"/>
        <v>0</v>
      </c>
      <c r="AK18" s="167">
        <f t="shared" si="58"/>
        <v>1.01</v>
      </c>
      <c r="AL18" s="109">
        <f t="shared" si="11"/>
        <v>0</v>
      </c>
      <c r="AM18" s="109">
        <f t="shared" si="47"/>
        <v>101000</v>
      </c>
      <c r="AN18" s="113">
        <f t="shared" si="12"/>
        <v>0</v>
      </c>
      <c r="AO18" s="137">
        <f t="shared" si="48"/>
        <v>1.01</v>
      </c>
      <c r="AP18" s="97">
        <f t="shared" si="13"/>
        <v>0</v>
      </c>
      <c r="AQ18" s="97">
        <f t="shared" si="49"/>
        <v>101000</v>
      </c>
      <c r="AR18" s="104">
        <f t="shared" si="14"/>
        <v>0</v>
      </c>
      <c r="AS18" s="125">
        <f t="shared" si="50"/>
        <v>1.01</v>
      </c>
      <c r="AT18" s="8"/>
      <c r="AU18" s="8"/>
      <c r="AV18" s="8"/>
      <c r="AW18" s="82">
        <f t="shared" ref="AW18:AW35" si="64">IF(A18="","",IF(E18="L",H18,""))</f>
        <v>0</v>
      </c>
      <c r="AX18" s="13" t="e">
        <f>IF(A18="","",B18*EXP(-(0.693*3/VLOOKUP(A18,#REF!,2,FALSE))))</f>
        <v>#REF!</v>
      </c>
      <c r="AY18" s="8" t="e">
        <f t="shared" ref="AY18:AY35" si="65">IF(A18="","",AX18/$B$1*1000)</f>
        <v>#REF!</v>
      </c>
      <c r="AZ18" s="12" t="str">
        <f t="shared" ref="AZ18:AZ35" si="66">IF(A18="","",IF(H18&lt;=G18," to nie jest odpad !!!",IF(AND(C18&gt;30.2,H18&gt;400)," długożyciowy",IF(AY18&gt;G18," krótkożyciowy"," przejściowy"))))</f>
        <v xml:space="preserve"> to nie jest odpad !!!</v>
      </c>
      <c r="BA18" s="12" t="e">
        <f>IF(A18="","",VLOOKUP(A18,#REF!,8,FALSE))</f>
        <v>#REF!</v>
      </c>
      <c r="BB18" s="6" t="e">
        <f t="shared" ref="BB18:BB35" si="67">IF(H18&lt;BA18,"cleared","")</f>
        <v>#REF!</v>
      </c>
      <c r="BC18" s="4">
        <f t="shared" ref="BC18:BC35" si="68">IF(A18&lt;&gt;"",1,"")</f>
        <v>1</v>
      </c>
      <c r="BD18" s="4">
        <f t="shared" si="20"/>
        <v>1</v>
      </c>
      <c r="BE18" s="4" t="str">
        <f t="shared" si="21"/>
        <v/>
      </c>
      <c r="BF18" s="4" t="str">
        <f t="shared" si="22"/>
        <v/>
      </c>
      <c r="BG18" s="4" t="str">
        <f t="shared" si="23"/>
        <v/>
      </c>
      <c r="BH18" s="4" t="e">
        <f>IF(A18="","",VLOOKUP(A18,#REF!,11,FALSE))</f>
        <v>#REF!</v>
      </c>
      <c r="BI18" s="4" t="e">
        <f t="shared" ref="BI18:BI35" si="69">IF(A18="","",B18*1000000*BH18)</f>
        <v>#REF!</v>
      </c>
      <c r="BJ18" s="32" t="e">
        <f t="shared" ref="BJ18:BJ35" si="70">IF(A18="","",BI18*1000000)</f>
        <v>#REF!</v>
      </c>
      <c r="BK18" s="30" t="e">
        <f t="shared" ref="BK18:BK35" si="71">IF(A18="","",BI18*16*1000)</f>
        <v>#REF!</v>
      </c>
      <c r="BL18" s="30" t="e">
        <f t="shared" ref="BL18:BL35" si="72">IF(A18="","",BI18*10000*10)</f>
        <v>#REF!</v>
      </c>
      <c r="BM18" s="30" t="e">
        <f t="shared" ref="BM18:BM35" si="73">IF(A18="","",BI18*10000*1000)</f>
        <v>#REF!</v>
      </c>
      <c r="BN18" s="4" t="e">
        <f>VLOOKUP(A18,#REF!,11,FALSE)</f>
        <v>#REF!</v>
      </c>
    </row>
    <row r="19" spans="1:66" s="4" customFormat="1" x14ac:dyDescent="0.2">
      <c r="A19" s="4" t="s">
        <v>330</v>
      </c>
      <c r="B19" s="83"/>
      <c r="C19" s="4">
        <f>IF(A19="","",VLOOKUP(A19,'D-Value_A1_A2_Exempted'!$A$2:$S$372,19,FALSE))</f>
        <v>3.0820000000000001E-3</v>
      </c>
      <c r="D19" s="173" t="str">
        <f t="shared" si="29"/>
        <v/>
      </c>
      <c r="E19" s="6" t="str">
        <f t="shared" si="60"/>
        <v/>
      </c>
      <c r="F19" s="6" t="str">
        <f t="shared" si="61"/>
        <v/>
      </c>
      <c r="G19" s="84">
        <f>IF(A19="","",VLOOKUP(A19,'D-Value_A1_A2_Exempted'!$A$2:$S$372,17,FALSE))</f>
        <v>100000</v>
      </c>
      <c r="H19" s="5">
        <f t="shared" si="30"/>
        <v>0</v>
      </c>
      <c r="I19" s="8">
        <f t="shared" si="39"/>
        <v>101000</v>
      </c>
      <c r="J19" s="8">
        <f t="shared" si="31"/>
        <v>101000</v>
      </c>
      <c r="K19" s="5">
        <f t="shared" si="32"/>
        <v>0</v>
      </c>
      <c r="L19" s="117">
        <f t="shared" si="40"/>
        <v>1.01</v>
      </c>
      <c r="M19" s="5">
        <f t="shared" si="33"/>
        <v>1.01</v>
      </c>
      <c r="N19" s="143">
        <f t="shared" si="59"/>
        <v>0</v>
      </c>
      <c r="O19" s="143">
        <f t="shared" si="53"/>
        <v>101000</v>
      </c>
      <c r="P19" s="143">
        <f t="shared" si="54"/>
        <v>101000</v>
      </c>
      <c r="Q19" s="143">
        <f t="shared" si="34"/>
        <v>0</v>
      </c>
      <c r="R19" s="143">
        <f t="shared" si="55"/>
        <v>101000</v>
      </c>
      <c r="S19" s="143">
        <f t="shared" si="35"/>
        <v>0</v>
      </c>
      <c r="T19" s="143">
        <f t="shared" si="41"/>
        <v>0</v>
      </c>
      <c r="U19" s="8">
        <f t="shared" si="62"/>
        <v>0</v>
      </c>
      <c r="V19" s="82" t="str">
        <f t="shared" si="4"/>
        <v>0</v>
      </c>
      <c r="W19" s="8">
        <f t="shared" si="36"/>
        <v>98921.450056279602</v>
      </c>
      <c r="X19" s="190">
        <f t="shared" si="5"/>
        <v>0</v>
      </c>
      <c r="Y19" s="190">
        <f t="shared" si="56"/>
        <v>0.98921450056279603</v>
      </c>
      <c r="Z19" s="8">
        <f t="shared" si="6"/>
        <v>0</v>
      </c>
      <c r="AA19" s="8">
        <f t="shared" si="63"/>
        <v>1</v>
      </c>
      <c r="AB19" s="8">
        <f t="shared" si="37"/>
        <v>0</v>
      </c>
      <c r="AC19" s="8">
        <f t="shared" si="43"/>
        <v>0</v>
      </c>
      <c r="AD19" s="8">
        <f t="shared" si="7"/>
        <v>0</v>
      </c>
      <c r="AE19" s="8">
        <f t="shared" si="44"/>
        <v>0</v>
      </c>
      <c r="AF19" s="8">
        <f t="shared" si="8"/>
        <v>0</v>
      </c>
      <c r="AG19" s="8">
        <f t="shared" si="45"/>
        <v>0</v>
      </c>
      <c r="AH19" s="8">
        <f t="shared" si="57"/>
        <v>0</v>
      </c>
      <c r="AI19" s="8">
        <f t="shared" si="46"/>
        <v>101000</v>
      </c>
      <c r="AJ19" s="167">
        <f t="shared" si="10"/>
        <v>0</v>
      </c>
      <c r="AK19" s="167">
        <f t="shared" si="58"/>
        <v>1.01</v>
      </c>
      <c r="AL19" s="109">
        <f t="shared" si="11"/>
        <v>0</v>
      </c>
      <c r="AM19" s="109">
        <f t="shared" si="47"/>
        <v>101000</v>
      </c>
      <c r="AN19" s="113">
        <f t="shared" si="12"/>
        <v>0</v>
      </c>
      <c r="AO19" s="137">
        <f t="shared" si="48"/>
        <v>1.01</v>
      </c>
      <c r="AP19" s="97">
        <f t="shared" si="13"/>
        <v>0</v>
      </c>
      <c r="AQ19" s="97">
        <f t="shared" si="49"/>
        <v>101000</v>
      </c>
      <c r="AR19" s="104">
        <f t="shared" si="14"/>
        <v>0</v>
      </c>
      <c r="AS19" s="125">
        <f t="shared" si="50"/>
        <v>1.01</v>
      </c>
      <c r="AT19" s="8"/>
      <c r="AU19" s="8"/>
      <c r="AV19" s="8"/>
      <c r="AW19" s="82" t="str">
        <f t="shared" si="64"/>
        <v/>
      </c>
      <c r="AX19" s="13" t="e">
        <f>IF(A19="","",B19*EXP(-(0.693*3/VLOOKUP(A19,#REF!,2,FALSE))))</f>
        <v>#REF!</v>
      </c>
      <c r="AY19" s="8" t="e">
        <f t="shared" si="65"/>
        <v>#REF!</v>
      </c>
      <c r="AZ19" s="12" t="str">
        <f t="shared" si="66"/>
        <v xml:space="preserve"> to nie jest odpad !!!</v>
      </c>
      <c r="BA19" s="12" t="e">
        <f>IF(A19="","",VLOOKUP(A19,#REF!,8,FALSE))</f>
        <v>#REF!</v>
      </c>
      <c r="BB19" s="6" t="e">
        <f t="shared" si="67"/>
        <v>#REF!</v>
      </c>
      <c r="BC19" s="4">
        <f t="shared" si="68"/>
        <v>1</v>
      </c>
      <c r="BD19" s="4">
        <f t="shared" si="20"/>
        <v>1</v>
      </c>
      <c r="BE19" s="4" t="str">
        <f t="shared" si="21"/>
        <v/>
      </c>
      <c r="BF19" s="4" t="str">
        <f t="shared" si="22"/>
        <v/>
      </c>
      <c r="BG19" s="4" t="str">
        <f t="shared" si="23"/>
        <v/>
      </c>
      <c r="BH19" s="4" t="e">
        <f>IF(A19="","",VLOOKUP(A19,#REF!,11,FALSE))</f>
        <v>#REF!</v>
      </c>
      <c r="BI19" s="4" t="e">
        <f t="shared" si="69"/>
        <v>#REF!</v>
      </c>
      <c r="BJ19" s="32" t="e">
        <f t="shared" si="70"/>
        <v>#REF!</v>
      </c>
      <c r="BK19" s="30" t="e">
        <f t="shared" si="71"/>
        <v>#REF!</v>
      </c>
      <c r="BL19" s="30" t="e">
        <f t="shared" si="72"/>
        <v>#REF!</v>
      </c>
      <c r="BM19" s="30" t="e">
        <f t="shared" si="73"/>
        <v>#REF!</v>
      </c>
      <c r="BN19" s="4" t="e">
        <f>VLOOKUP(A19,#REF!,11,FALSE)</f>
        <v>#REF!</v>
      </c>
    </row>
    <row r="20" spans="1:66" s="4" customFormat="1" x14ac:dyDescent="0.2">
      <c r="A20" s="4" t="s">
        <v>9</v>
      </c>
      <c r="B20" s="83"/>
      <c r="C20" s="4">
        <f>IF(A20="","",VLOOKUP(A20,'D-Value_A1_A2_Exempted'!$A$2:$S$372,19,FALSE))</f>
        <v>5730</v>
      </c>
      <c r="D20" s="173" t="str">
        <f t="shared" si="29"/>
        <v/>
      </c>
      <c r="E20" s="6" t="str">
        <f t="shared" si="60"/>
        <v/>
      </c>
      <c r="F20" s="6" t="str">
        <f t="shared" si="61"/>
        <v>LB</v>
      </c>
      <c r="G20" s="84">
        <f>IF(A20="","",VLOOKUP(A20,'D-Value_A1_A2_Exempted'!$A$2:$S$372,17,FALSE))</f>
        <v>10000</v>
      </c>
      <c r="H20" s="5">
        <f t="shared" si="30"/>
        <v>0</v>
      </c>
      <c r="I20" s="8">
        <f t="shared" ref="I20:I40" si="74">H20+I19</f>
        <v>101000</v>
      </c>
      <c r="J20" s="8">
        <f t="shared" si="31"/>
        <v>101000</v>
      </c>
      <c r="K20" s="5">
        <f t="shared" si="32"/>
        <v>0</v>
      </c>
      <c r="L20" s="117">
        <f t="shared" si="40"/>
        <v>1.01</v>
      </c>
      <c r="M20" s="5">
        <f t="shared" si="33"/>
        <v>1.01</v>
      </c>
      <c r="N20" s="143">
        <f t="shared" si="59"/>
        <v>0</v>
      </c>
      <c r="O20" s="143">
        <f t="shared" si="53"/>
        <v>101000</v>
      </c>
      <c r="P20" s="143">
        <f t="shared" si="54"/>
        <v>101000</v>
      </c>
      <c r="Q20" s="143">
        <f t="shared" si="34"/>
        <v>0</v>
      </c>
      <c r="R20" s="143">
        <f t="shared" si="55"/>
        <v>101000</v>
      </c>
      <c r="S20" s="143">
        <f t="shared" si="35"/>
        <v>0</v>
      </c>
      <c r="T20" s="143">
        <f t="shared" si="41"/>
        <v>0</v>
      </c>
      <c r="U20" s="8">
        <f t="shared" si="62"/>
        <v>0</v>
      </c>
      <c r="V20" s="82" t="str">
        <f t="shared" si="4"/>
        <v>0</v>
      </c>
      <c r="W20" s="8">
        <f t="shared" si="36"/>
        <v>98921.450056279602</v>
      </c>
      <c r="X20" s="190">
        <f t="shared" si="5"/>
        <v>0</v>
      </c>
      <c r="Y20" s="190">
        <f t="shared" si="56"/>
        <v>0.98921450056279603</v>
      </c>
      <c r="Z20" s="8">
        <f t="shared" si="6"/>
        <v>0</v>
      </c>
      <c r="AA20" s="8">
        <f t="shared" si="63"/>
        <v>1</v>
      </c>
      <c r="AB20" s="8">
        <f t="shared" si="37"/>
        <v>0</v>
      </c>
      <c r="AC20" s="8">
        <f t="shared" si="43"/>
        <v>0</v>
      </c>
      <c r="AD20" s="8">
        <f t="shared" si="7"/>
        <v>0</v>
      </c>
      <c r="AE20" s="8">
        <f t="shared" ref="AE20:AE37" si="75">AD20+AE19</f>
        <v>0</v>
      </c>
      <c r="AF20" s="8">
        <f t="shared" si="8"/>
        <v>0</v>
      </c>
      <c r="AG20" s="8">
        <f t="shared" si="45"/>
        <v>0</v>
      </c>
      <c r="AH20" s="8">
        <f t="shared" si="57"/>
        <v>0</v>
      </c>
      <c r="AI20" s="8">
        <f t="shared" si="46"/>
        <v>101000</v>
      </c>
      <c r="AJ20" s="167">
        <f t="shared" si="10"/>
        <v>0</v>
      </c>
      <c r="AK20" s="167">
        <f t="shared" si="58"/>
        <v>1.01</v>
      </c>
      <c r="AL20" s="109">
        <f t="shared" si="11"/>
        <v>0</v>
      </c>
      <c r="AM20" s="109">
        <f t="shared" si="47"/>
        <v>101000</v>
      </c>
      <c r="AN20" s="113">
        <f t="shared" si="12"/>
        <v>0</v>
      </c>
      <c r="AO20" s="137">
        <f t="shared" si="48"/>
        <v>1.01</v>
      </c>
      <c r="AP20" s="97">
        <f t="shared" si="13"/>
        <v>0</v>
      </c>
      <c r="AQ20" s="97">
        <f t="shared" si="49"/>
        <v>101000</v>
      </c>
      <c r="AR20" s="104">
        <f t="shared" si="14"/>
        <v>0</v>
      </c>
      <c r="AS20" s="125">
        <f t="shared" si="50"/>
        <v>1.01</v>
      </c>
      <c r="AT20" s="8"/>
      <c r="AU20" s="8"/>
      <c r="AV20" s="8"/>
      <c r="AW20" s="82" t="str">
        <f t="shared" si="64"/>
        <v/>
      </c>
      <c r="AX20" s="13" t="e">
        <f>IF(A20="","",B20*EXP(-(0.693*3/VLOOKUP(A20,#REF!,2,FALSE))))</f>
        <v>#REF!</v>
      </c>
      <c r="AY20" s="8" t="e">
        <f t="shared" si="65"/>
        <v>#REF!</v>
      </c>
      <c r="AZ20" s="12" t="str">
        <f t="shared" si="66"/>
        <v xml:space="preserve"> to nie jest odpad !!!</v>
      </c>
      <c r="BA20" s="12" t="e">
        <f>IF(A20="","",VLOOKUP(A20,#REF!,8,FALSE))</f>
        <v>#REF!</v>
      </c>
      <c r="BB20" s="6" t="e">
        <f t="shared" si="67"/>
        <v>#REF!</v>
      </c>
      <c r="BC20" s="4">
        <f t="shared" si="68"/>
        <v>1</v>
      </c>
      <c r="BD20" s="4">
        <f t="shared" si="20"/>
        <v>1</v>
      </c>
      <c r="BE20" s="4" t="str">
        <f t="shared" si="21"/>
        <v/>
      </c>
      <c r="BF20" s="4" t="str">
        <f t="shared" si="22"/>
        <v/>
      </c>
      <c r="BG20" s="4" t="str">
        <f t="shared" si="23"/>
        <v/>
      </c>
      <c r="BH20" s="4" t="e">
        <f>IF(A20="","",VLOOKUP(A20,#REF!,11,FALSE))</f>
        <v>#REF!</v>
      </c>
      <c r="BI20" s="4" t="e">
        <f t="shared" si="69"/>
        <v>#REF!</v>
      </c>
      <c r="BJ20" s="32" t="e">
        <f t="shared" si="70"/>
        <v>#REF!</v>
      </c>
      <c r="BK20" s="30" t="e">
        <f t="shared" si="71"/>
        <v>#REF!</v>
      </c>
      <c r="BL20" s="30" t="e">
        <f t="shared" si="72"/>
        <v>#REF!</v>
      </c>
      <c r="BM20" s="30" t="e">
        <f t="shared" si="73"/>
        <v>#REF!</v>
      </c>
      <c r="BN20" s="4" t="e">
        <f>VLOOKUP(A20,#REF!,11,FALSE)</f>
        <v>#REF!</v>
      </c>
    </row>
    <row r="21" spans="1:66" s="4" customFormat="1" x14ac:dyDescent="0.2">
      <c r="A21" s="4" t="s">
        <v>16</v>
      </c>
      <c r="B21" s="83"/>
      <c r="C21" s="4">
        <f>IF(A21="","",VLOOKUP(A21,'D-Value_A1_A2_Exempted'!$A$2:$S$372,19,FALSE))</f>
        <v>0.23928815879534501</v>
      </c>
      <c r="D21" s="173" t="str">
        <f t="shared" si="29"/>
        <v/>
      </c>
      <c r="E21" s="6" t="str">
        <f t="shared" si="60"/>
        <v/>
      </c>
      <c r="F21" s="6" t="str">
        <f t="shared" si="61"/>
        <v/>
      </c>
      <c r="G21" s="84">
        <f>IF(A21="","",VLOOKUP(A21,'D-Value_A1_A2_Exempted'!$A$2:$S$372,17,FALSE))</f>
        <v>100000</v>
      </c>
      <c r="H21" s="5">
        <f t="shared" si="30"/>
        <v>0</v>
      </c>
      <c r="I21" s="8">
        <f t="shared" si="74"/>
        <v>101000</v>
      </c>
      <c r="J21" s="8">
        <f t="shared" si="31"/>
        <v>101000</v>
      </c>
      <c r="K21" s="5">
        <f t="shared" si="32"/>
        <v>0</v>
      </c>
      <c r="L21" s="117">
        <f t="shared" si="40"/>
        <v>1.01</v>
      </c>
      <c r="M21" s="5">
        <f t="shared" si="33"/>
        <v>1.01</v>
      </c>
      <c r="N21" s="143">
        <f t="shared" ref="N21:N40" si="76">IF(A21="","",IF(OR(A21="H-3",A21="C-14"),B21/$B$1*100,B21/$B$1*1000))</f>
        <v>0</v>
      </c>
      <c r="O21" s="143">
        <f t="shared" si="53"/>
        <v>101000</v>
      </c>
      <c r="P21" s="143">
        <f t="shared" si="54"/>
        <v>101000</v>
      </c>
      <c r="Q21" s="143">
        <f t="shared" si="34"/>
        <v>0</v>
      </c>
      <c r="R21" s="143">
        <f t="shared" si="55"/>
        <v>101000</v>
      </c>
      <c r="S21" s="143">
        <f t="shared" si="35"/>
        <v>0</v>
      </c>
      <c r="T21" s="143">
        <f t="shared" si="41"/>
        <v>0</v>
      </c>
      <c r="U21" s="8">
        <f t="shared" si="62"/>
        <v>0</v>
      </c>
      <c r="V21" s="82" t="str">
        <f t="shared" si="4"/>
        <v>0</v>
      </c>
      <c r="W21" s="8">
        <f t="shared" si="36"/>
        <v>98921.450056279602</v>
      </c>
      <c r="X21" s="190">
        <f t="shared" si="5"/>
        <v>0</v>
      </c>
      <c r="Y21" s="190">
        <f t="shared" si="56"/>
        <v>0.98921450056279603</v>
      </c>
      <c r="Z21" s="8">
        <f t="shared" si="6"/>
        <v>0</v>
      </c>
      <c r="AA21" s="8">
        <f t="shared" si="63"/>
        <v>1</v>
      </c>
      <c r="AB21" s="8">
        <f t="shared" si="37"/>
        <v>0</v>
      </c>
      <c r="AC21" s="8">
        <f t="shared" si="43"/>
        <v>0</v>
      </c>
      <c r="AD21" s="8">
        <f t="shared" si="7"/>
        <v>0</v>
      </c>
      <c r="AE21" s="8">
        <f t="shared" si="75"/>
        <v>0</v>
      </c>
      <c r="AF21" s="8">
        <f t="shared" si="8"/>
        <v>0</v>
      </c>
      <c r="AG21" s="8">
        <f t="shared" si="45"/>
        <v>0</v>
      </c>
      <c r="AH21" s="8">
        <f t="shared" si="57"/>
        <v>0</v>
      </c>
      <c r="AI21" s="8">
        <f t="shared" si="46"/>
        <v>101000</v>
      </c>
      <c r="AJ21" s="167">
        <f t="shared" si="10"/>
        <v>0</v>
      </c>
      <c r="AK21" s="167">
        <f t="shared" si="58"/>
        <v>1.01</v>
      </c>
      <c r="AL21" s="109">
        <f t="shared" si="11"/>
        <v>0</v>
      </c>
      <c r="AM21" s="109">
        <f t="shared" si="47"/>
        <v>101000</v>
      </c>
      <c r="AN21" s="113">
        <f t="shared" si="12"/>
        <v>0</v>
      </c>
      <c r="AO21" s="137">
        <f t="shared" si="48"/>
        <v>1.01</v>
      </c>
      <c r="AP21" s="97">
        <f t="shared" si="13"/>
        <v>0</v>
      </c>
      <c r="AQ21" s="97">
        <f t="shared" si="49"/>
        <v>101000</v>
      </c>
      <c r="AR21" s="104">
        <f t="shared" si="14"/>
        <v>0</v>
      </c>
      <c r="AS21" s="125">
        <f t="shared" si="50"/>
        <v>1.01</v>
      </c>
      <c r="AT21" s="8"/>
      <c r="AU21" s="8"/>
      <c r="AV21" s="8"/>
      <c r="AW21" s="82" t="str">
        <f t="shared" si="64"/>
        <v/>
      </c>
      <c r="AX21" s="13" t="e">
        <f>IF(A21="","",B21*EXP(-(0.693*3/VLOOKUP(A21,#REF!,2,FALSE))))</f>
        <v>#REF!</v>
      </c>
      <c r="AY21" s="8" t="e">
        <f t="shared" si="65"/>
        <v>#REF!</v>
      </c>
      <c r="AZ21" s="12" t="str">
        <f t="shared" si="66"/>
        <v xml:space="preserve"> to nie jest odpad !!!</v>
      </c>
      <c r="BA21" s="12" t="e">
        <f>IF(A21="","",VLOOKUP(A21,#REF!,8,FALSE))</f>
        <v>#REF!</v>
      </c>
      <c r="BB21" s="6" t="e">
        <f t="shared" si="67"/>
        <v>#REF!</v>
      </c>
      <c r="BC21" s="4">
        <f t="shared" si="68"/>
        <v>1</v>
      </c>
      <c r="BD21" s="4">
        <f t="shared" si="20"/>
        <v>1</v>
      </c>
      <c r="BE21" s="4" t="str">
        <f t="shared" si="21"/>
        <v/>
      </c>
      <c r="BF21" s="4" t="str">
        <f t="shared" si="22"/>
        <v/>
      </c>
      <c r="BG21" s="4" t="str">
        <f t="shared" si="23"/>
        <v/>
      </c>
      <c r="BH21" s="4" t="e">
        <f>IF(A21="","",VLOOKUP(A21,#REF!,11,FALSE))</f>
        <v>#REF!</v>
      </c>
      <c r="BI21" s="4" t="e">
        <f t="shared" si="69"/>
        <v>#REF!</v>
      </c>
      <c r="BJ21" s="32" t="e">
        <f t="shared" si="70"/>
        <v>#REF!</v>
      </c>
      <c r="BK21" s="30" t="e">
        <f t="shared" si="71"/>
        <v>#REF!</v>
      </c>
      <c r="BL21" s="30" t="e">
        <f t="shared" si="72"/>
        <v>#REF!</v>
      </c>
      <c r="BM21" s="30" t="e">
        <f t="shared" si="73"/>
        <v>#REF!</v>
      </c>
      <c r="BN21" s="4" t="e">
        <f>VLOOKUP(A21,#REF!,11,FALSE)</f>
        <v>#REF!</v>
      </c>
    </row>
    <row r="22" spans="1:66" s="4" customFormat="1" x14ac:dyDescent="0.2">
      <c r="A22" s="4" t="s">
        <v>148</v>
      </c>
      <c r="B22" s="83"/>
      <c r="C22" s="4">
        <f>IF(A22="","",VLOOKUP(A22,'D-Value_A1_A2_Exempted'!$A$2:$S$372,19,FALSE))</f>
        <v>1.8370978781656399E-2</v>
      </c>
      <c r="D22" s="173" t="str">
        <f t="shared" si="29"/>
        <v/>
      </c>
      <c r="E22" s="6" t="str">
        <f t="shared" si="60"/>
        <v/>
      </c>
      <c r="F22" s="6" t="str">
        <f t="shared" si="61"/>
        <v/>
      </c>
      <c r="G22" s="84">
        <f>IF(A22="","",VLOOKUP(A22,'D-Value_A1_A2_Exempted'!$A$2:$S$372,17,FALSE))</f>
        <v>1000</v>
      </c>
      <c r="H22" s="5">
        <f t="shared" si="30"/>
        <v>0</v>
      </c>
      <c r="I22" s="8">
        <f t="shared" si="74"/>
        <v>101000</v>
      </c>
      <c r="J22" s="8">
        <f t="shared" si="31"/>
        <v>101000</v>
      </c>
      <c r="K22" s="5">
        <f t="shared" si="32"/>
        <v>0</v>
      </c>
      <c r="L22" s="117">
        <f t="shared" si="40"/>
        <v>1.01</v>
      </c>
      <c r="M22" s="5">
        <f t="shared" si="33"/>
        <v>1.01</v>
      </c>
      <c r="N22" s="143">
        <f t="shared" si="76"/>
        <v>0</v>
      </c>
      <c r="O22" s="143">
        <f t="shared" ref="O22:O37" si="77">N22+O21</f>
        <v>101000</v>
      </c>
      <c r="P22" s="143">
        <f t="shared" si="54"/>
        <v>101000</v>
      </c>
      <c r="Q22" s="143">
        <f t="shared" si="34"/>
        <v>0</v>
      </c>
      <c r="R22" s="143">
        <f t="shared" si="55"/>
        <v>101000</v>
      </c>
      <c r="S22" s="143">
        <f t="shared" si="35"/>
        <v>0</v>
      </c>
      <c r="T22" s="143">
        <f t="shared" si="41"/>
        <v>0</v>
      </c>
      <c r="U22" s="8">
        <f t="shared" si="62"/>
        <v>0</v>
      </c>
      <c r="V22" s="82" t="str">
        <f t="shared" si="4"/>
        <v>0</v>
      </c>
      <c r="W22" s="8">
        <f t="shared" si="36"/>
        <v>98921.450056279602</v>
      </c>
      <c r="X22" s="190">
        <f t="shared" si="5"/>
        <v>0</v>
      </c>
      <c r="Y22" s="190">
        <f t="shared" si="56"/>
        <v>0.98921450056279603</v>
      </c>
      <c r="Z22" s="8">
        <f t="shared" si="6"/>
        <v>0</v>
      </c>
      <c r="AA22" s="8">
        <f t="shared" si="63"/>
        <v>1</v>
      </c>
      <c r="AB22" s="8">
        <f t="shared" si="37"/>
        <v>0</v>
      </c>
      <c r="AC22" s="8">
        <f t="shared" si="43"/>
        <v>0</v>
      </c>
      <c r="AD22" s="8">
        <f t="shared" si="7"/>
        <v>0</v>
      </c>
      <c r="AE22" s="8">
        <f t="shared" si="75"/>
        <v>0</v>
      </c>
      <c r="AF22" s="8">
        <f t="shared" si="8"/>
        <v>0</v>
      </c>
      <c r="AG22" s="8">
        <f t="shared" ref="AG22:AG37" si="78">AF22+AG21</f>
        <v>0</v>
      </c>
      <c r="AH22" s="8">
        <f t="shared" si="57"/>
        <v>0</v>
      </c>
      <c r="AI22" s="8">
        <f t="shared" ref="AI22:AI37" si="79">AH22+AI21</f>
        <v>101000</v>
      </c>
      <c r="AJ22" s="167">
        <f t="shared" si="10"/>
        <v>0</v>
      </c>
      <c r="AK22" s="167">
        <f t="shared" si="58"/>
        <v>1.01</v>
      </c>
      <c r="AL22" s="109">
        <f t="shared" si="11"/>
        <v>0</v>
      </c>
      <c r="AM22" s="109">
        <f t="shared" ref="AM22:AM37" si="80">AL22+AM21</f>
        <v>101000</v>
      </c>
      <c r="AN22" s="113">
        <f t="shared" si="12"/>
        <v>0</v>
      </c>
      <c r="AO22" s="137">
        <f t="shared" si="48"/>
        <v>1.01</v>
      </c>
      <c r="AP22" s="97">
        <f t="shared" si="13"/>
        <v>0</v>
      </c>
      <c r="AQ22" s="97">
        <f t="shared" si="49"/>
        <v>101000</v>
      </c>
      <c r="AR22" s="104">
        <f t="shared" si="14"/>
        <v>0</v>
      </c>
      <c r="AS22" s="125">
        <f t="shared" si="50"/>
        <v>1.01</v>
      </c>
      <c r="AT22" s="8"/>
      <c r="AU22" s="8"/>
      <c r="AV22" s="8"/>
      <c r="AW22" s="82" t="str">
        <f t="shared" si="64"/>
        <v/>
      </c>
      <c r="AX22" s="13" t="e">
        <f>IF(A22="","",B22*EXP(-(0.693*3/VLOOKUP(A22,#REF!,2,FALSE))))</f>
        <v>#REF!</v>
      </c>
      <c r="AY22" s="8" t="e">
        <f t="shared" si="65"/>
        <v>#REF!</v>
      </c>
      <c r="AZ22" s="12" t="str">
        <f t="shared" si="66"/>
        <v xml:space="preserve"> to nie jest odpad !!!</v>
      </c>
      <c r="BA22" s="12" t="e">
        <f>IF(A22="","",VLOOKUP(A22,#REF!,8,FALSE))</f>
        <v>#REF!</v>
      </c>
      <c r="BB22" s="6" t="e">
        <f t="shared" si="67"/>
        <v>#REF!</v>
      </c>
      <c r="BC22" s="4">
        <f t="shared" si="68"/>
        <v>1</v>
      </c>
      <c r="BD22" s="4">
        <f t="shared" si="20"/>
        <v>1</v>
      </c>
      <c r="BE22" s="4" t="str">
        <f t="shared" si="21"/>
        <v/>
      </c>
      <c r="BF22" s="4" t="str">
        <f t="shared" si="22"/>
        <v/>
      </c>
      <c r="BG22" s="4" t="str">
        <f t="shared" si="23"/>
        <v/>
      </c>
      <c r="BH22" s="4" t="e">
        <f>IF(A22="","",VLOOKUP(A22,#REF!,11,FALSE))</f>
        <v>#REF!</v>
      </c>
      <c r="BI22" s="4" t="e">
        <f t="shared" si="69"/>
        <v>#REF!</v>
      </c>
      <c r="BJ22" s="32" t="e">
        <f t="shared" si="70"/>
        <v>#REF!</v>
      </c>
      <c r="BK22" s="30" t="e">
        <f t="shared" si="71"/>
        <v>#REF!</v>
      </c>
      <c r="BL22" s="30" t="e">
        <f t="shared" si="72"/>
        <v>#REF!</v>
      </c>
      <c r="BM22" s="30" t="e">
        <f t="shared" si="73"/>
        <v>#REF!</v>
      </c>
      <c r="BN22" s="4" t="e">
        <f>VLOOKUP(A22,#REF!,11,FALSE)</f>
        <v>#REF!</v>
      </c>
    </row>
    <row r="23" spans="1:66" s="4" customFormat="1" x14ac:dyDescent="0.2">
      <c r="A23" s="4" t="s">
        <v>27</v>
      </c>
      <c r="B23" s="83"/>
      <c r="C23" s="4">
        <f>IF(A23="","",VLOOKUP(A23,'D-Value_A1_A2_Exempted'!$A$2:$S$372,19,FALSE))</f>
        <v>7.5838466803559199E-2</v>
      </c>
      <c r="D23" s="173" t="str">
        <f t="shared" si="29"/>
        <v/>
      </c>
      <c r="E23" s="6" t="str">
        <f t="shared" si="60"/>
        <v/>
      </c>
      <c r="F23" s="6" t="str">
        <f t="shared" si="61"/>
        <v/>
      </c>
      <c r="G23" s="84">
        <f>IF(A23="","",VLOOKUP(A23,'D-Value_A1_A2_Exempted'!$A$2:$S$372,17,FALSE))</f>
        <v>1000</v>
      </c>
      <c r="H23" s="5">
        <f t="shared" si="30"/>
        <v>0</v>
      </c>
      <c r="I23" s="8">
        <f t="shared" si="74"/>
        <v>101000</v>
      </c>
      <c r="J23" s="8">
        <f t="shared" si="31"/>
        <v>101000</v>
      </c>
      <c r="K23" s="5">
        <f t="shared" si="32"/>
        <v>0</v>
      </c>
      <c r="L23" s="117">
        <f t="shared" si="40"/>
        <v>1.01</v>
      </c>
      <c r="M23" s="5">
        <f t="shared" si="33"/>
        <v>1.01</v>
      </c>
      <c r="N23" s="143">
        <f t="shared" si="76"/>
        <v>0</v>
      </c>
      <c r="O23" s="143">
        <f t="shared" si="77"/>
        <v>101000</v>
      </c>
      <c r="P23" s="143">
        <f t="shared" si="54"/>
        <v>101000</v>
      </c>
      <c r="Q23" s="143">
        <f t="shared" si="34"/>
        <v>0</v>
      </c>
      <c r="R23" s="143">
        <f t="shared" si="55"/>
        <v>101000</v>
      </c>
      <c r="S23" s="143">
        <f t="shared" si="35"/>
        <v>0</v>
      </c>
      <c r="T23" s="143">
        <f t="shared" si="41"/>
        <v>0</v>
      </c>
      <c r="U23" s="8">
        <f t="shared" si="62"/>
        <v>0</v>
      </c>
      <c r="V23" s="82" t="str">
        <f t="shared" si="4"/>
        <v>0</v>
      </c>
      <c r="W23" s="8">
        <f t="shared" si="36"/>
        <v>98921.450056279602</v>
      </c>
      <c r="X23" s="190">
        <f t="shared" si="5"/>
        <v>0</v>
      </c>
      <c r="Y23" s="190">
        <f t="shared" si="56"/>
        <v>0.98921450056279603</v>
      </c>
      <c r="Z23" s="8">
        <f t="shared" si="6"/>
        <v>0</v>
      </c>
      <c r="AA23" s="8">
        <f t="shared" si="63"/>
        <v>1</v>
      </c>
      <c r="AB23" s="8">
        <f t="shared" si="37"/>
        <v>0</v>
      </c>
      <c r="AC23" s="8">
        <f t="shared" si="43"/>
        <v>0</v>
      </c>
      <c r="AD23" s="8">
        <f t="shared" si="7"/>
        <v>0</v>
      </c>
      <c r="AE23" s="8">
        <f t="shared" si="75"/>
        <v>0</v>
      </c>
      <c r="AF23" s="8">
        <f t="shared" si="8"/>
        <v>0</v>
      </c>
      <c r="AG23" s="8">
        <f t="shared" si="78"/>
        <v>0</v>
      </c>
      <c r="AH23" s="8">
        <f t="shared" si="57"/>
        <v>0</v>
      </c>
      <c r="AI23" s="8">
        <f t="shared" si="79"/>
        <v>101000</v>
      </c>
      <c r="AJ23" s="167">
        <f t="shared" si="10"/>
        <v>0</v>
      </c>
      <c r="AK23" s="167">
        <f t="shared" si="58"/>
        <v>1.01</v>
      </c>
      <c r="AL23" s="109">
        <f t="shared" si="11"/>
        <v>0</v>
      </c>
      <c r="AM23" s="109">
        <f t="shared" si="80"/>
        <v>101000</v>
      </c>
      <c r="AN23" s="113">
        <f t="shared" si="12"/>
        <v>0</v>
      </c>
      <c r="AO23" s="137">
        <f t="shared" si="48"/>
        <v>1.01</v>
      </c>
      <c r="AP23" s="97">
        <f t="shared" si="13"/>
        <v>0</v>
      </c>
      <c r="AQ23" s="97">
        <f t="shared" si="49"/>
        <v>101000</v>
      </c>
      <c r="AR23" s="104">
        <f t="shared" si="14"/>
        <v>0</v>
      </c>
      <c r="AS23" s="125">
        <f t="shared" si="50"/>
        <v>1.01</v>
      </c>
      <c r="AT23" s="8"/>
      <c r="AU23" s="8"/>
      <c r="AV23" s="8"/>
      <c r="AW23" s="82" t="str">
        <f t="shared" si="64"/>
        <v/>
      </c>
      <c r="AX23" s="13" t="e">
        <f>IF(A23="","",B23*EXP(-(0.693*3/VLOOKUP(A23,#REF!,2,FALSE))))</f>
        <v>#REF!</v>
      </c>
      <c r="AY23" s="8" t="e">
        <f t="shared" si="65"/>
        <v>#REF!</v>
      </c>
      <c r="AZ23" s="12" t="str">
        <f t="shared" si="66"/>
        <v xml:space="preserve"> to nie jest odpad !!!</v>
      </c>
      <c r="BA23" s="12" t="e">
        <f>IF(A23="","",VLOOKUP(A23,#REF!,8,FALSE))</f>
        <v>#REF!</v>
      </c>
      <c r="BB23" s="6" t="e">
        <f t="shared" si="67"/>
        <v>#REF!</v>
      </c>
      <c r="BC23" s="4">
        <f t="shared" si="68"/>
        <v>1</v>
      </c>
      <c r="BD23" s="4">
        <f t="shared" si="20"/>
        <v>1</v>
      </c>
      <c r="BE23" s="4" t="str">
        <f t="shared" si="21"/>
        <v/>
      </c>
      <c r="BF23" s="4" t="str">
        <f t="shared" si="22"/>
        <v/>
      </c>
      <c r="BG23" s="4" t="str">
        <f t="shared" si="23"/>
        <v/>
      </c>
      <c r="BH23" s="4" t="e">
        <f>IF(A23="","",VLOOKUP(A23,#REF!,11,FALSE))</f>
        <v>#REF!</v>
      </c>
      <c r="BI23" s="4" t="e">
        <f t="shared" si="69"/>
        <v>#REF!</v>
      </c>
      <c r="BJ23" s="32" t="e">
        <f t="shared" si="70"/>
        <v>#REF!</v>
      </c>
      <c r="BK23" s="30" t="e">
        <f t="shared" si="71"/>
        <v>#REF!</v>
      </c>
      <c r="BL23" s="30" t="e">
        <f t="shared" si="72"/>
        <v>#REF!</v>
      </c>
      <c r="BM23" s="30" t="e">
        <f t="shared" si="73"/>
        <v>#REF!</v>
      </c>
      <c r="BN23" s="4" t="e">
        <f>VLOOKUP(A23,#REF!,11,FALSE)</f>
        <v>#REF!</v>
      </c>
    </row>
    <row r="24" spans="1:66" s="4" customFormat="1" x14ac:dyDescent="0.2">
      <c r="A24" s="4" t="s">
        <v>85</v>
      </c>
      <c r="B24" s="83"/>
      <c r="C24" s="4">
        <f>IF(A24="","",VLOOKUP(A24,'D-Value_A1_A2_Exempted'!$A$2:$S$372,19,FALSE))</f>
        <v>0.107597535934291</v>
      </c>
      <c r="D24" s="173" t="str">
        <f t="shared" si="29"/>
        <v/>
      </c>
      <c r="E24" s="6" t="str">
        <f t="shared" si="60"/>
        <v/>
      </c>
      <c r="F24" s="6" t="str">
        <f t="shared" si="61"/>
        <v/>
      </c>
      <c r="G24" s="84">
        <f>IF(A24="","",VLOOKUP(A24,'D-Value_A1_A2_Exempted'!$A$2:$S$372,17,FALSE))</f>
        <v>100</v>
      </c>
      <c r="H24" s="5">
        <f t="shared" si="30"/>
        <v>0</v>
      </c>
      <c r="I24" s="8">
        <f t="shared" si="74"/>
        <v>101000</v>
      </c>
      <c r="J24" s="8">
        <f t="shared" si="31"/>
        <v>101000</v>
      </c>
      <c r="K24" s="5">
        <f t="shared" si="32"/>
        <v>0</v>
      </c>
      <c r="L24" s="117">
        <f t="shared" si="40"/>
        <v>1.01</v>
      </c>
      <c r="M24" s="5">
        <f t="shared" si="33"/>
        <v>1.01</v>
      </c>
      <c r="N24" s="143">
        <f t="shared" si="76"/>
        <v>0</v>
      </c>
      <c r="O24" s="143">
        <f t="shared" si="77"/>
        <v>101000</v>
      </c>
      <c r="P24" s="143">
        <f t="shared" si="54"/>
        <v>101000</v>
      </c>
      <c r="Q24" s="143">
        <f t="shared" si="34"/>
        <v>0</v>
      </c>
      <c r="R24" s="143">
        <f>R23+Q24</f>
        <v>101000</v>
      </c>
      <c r="S24" s="143">
        <f t="shared" si="35"/>
        <v>0</v>
      </c>
      <c r="T24" s="143">
        <f t="shared" si="41"/>
        <v>0</v>
      </c>
      <c r="U24" s="8">
        <f t="shared" si="62"/>
        <v>0</v>
      </c>
      <c r="V24" s="82" t="str">
        <f t="shared" si="4"/>
        <v>0</v>
      </c>
      <c r="W24" s="8">
        <f t="shared" si="36"/>
        <v>98921.450056279602</v>
      </c>
      <c r="X24" s="190">
        <f t="shared" si="5"/>
        <v>0</v>
      </c>
      <c r="Y24" s="190">
        <f t="shared" si="56"/>
        <v>0.98921450056279603</v>
      </c>
      <c r="Z24" s="8">
        <f t="shared" si="6"/>
        <v>0</v>
      </c>
      <c r="AA24" s="8">
        <f t="shared" si="63"/>
        <v>1</v>
      </c>
      <c r="AB24" s="8">
        <f t="shared" si="37"/>
        <v>0</v>
      </c>
      <c r="AC24" s="8">
        <f t="shared" si="43"/>
        <v>0</v>
      </c>
      <c r="AD24" s="8">
        <f t="shared" si="7"/>
        <v>0</v>
      </c>
      <c r="AE24" s="8">
        <f t="shared" si="75"/>
        <v>0</v>
      </c>
      <c r="AF24" s="8">
        <f t="shared" si="8"/>
        <v>0</v>
      </c>
      <c r="AG24" s="8">
        <f t="shared" si="78"/>
        <v>0</v>
      </c>
      <c r="AH24" s="8">
        <f t="shared" si="57"/>
        <v>0</v>
      </c>
      <c r="AI24" s="8">
        <f t="shared" si="79"/>
        <v>101000</v>
      </c>
      <c r="AJ24" s="167">
        <f t="shared" si="10"/>
        <v>0</v>
      </c>
      <c r="AK24" s="167">
        <f t="shared" si="58"/>
        <v>1.01</v>
      </c>
      <c r="AL24" s="109">
        <f t="shared" si="11"/>
        <v>0</v>
      </c>
      <c r="AM24" s="109">
        <f t="shared" si="80"/>
        <v>101000</v>
      </c>
      <c r="AN24" s="113">
        <f t="shared" si="12"/>
        <v>0</v>
      </c>
      <c r="AO24" s="137">
        <f t="shared" si="48"/>
        <v>1.01</v>
      </c>
      <c r="AP24" s="97">
        <f t="shared" si="13"/>
        <v>0</v>
      </c>
      <c r="AQ24" s="97">
        <f t="shared" si="49"/>
        <v>101000</v>
      </c>
      <c r="AR24" s="104">
        <f t="shared" si="14"/>
        <v>0</v>
      </c>
      <c r="AS24" s="125">
        <f t="shared" si="50"/>
        <v>1.01</v>
      </c>
      <c r="AT24" s="8"/>
      <c r="AU24" s="8"/>
      <c r="AV24" s="8"/>
      <c r="AW24" s="82" t="str">
        <f t="shared" si="64"/>
        <v/>
      </c>
      <c r="AX24" s="13" t="e">
        <f>IF(A24="","",B24*EXP(-(0.693*3/VLOOKUP(A24,#REF!,2,FALSE))))</f>
        <v>#REF!</v>
      </c>
      <c r="AY24" s="8" t="e">
        <f t="shared" si="65"/>
        <v>#REF!</v>
      </c>
      <c r="AZ24" s="12" t="str">
        <f t="shared" si="66"/>
        <v xml:space="preserve"> to nie jest odpad !!!</v>
      </c>
      <c r="BA24" s="12" t="e">
        <f>IF(A24="","",VLOOKUP(A24,#REF!,8,FALSE))</f>
        <v>#REF!</v>
      </c>
      <c r="BB24" s="6" t="e">
        <f t="shared" si="67"/>
        <v>#REF!</v>
      </c>
      <c r="BC24" s="4">
        <f t="shared" si="68"/>
        <v>1</v>
      </c>
      <c r="BD24" s="4">
        <f>IF(AZ24=" to nie jest odpad !!!",1,"")</f>
        <v>1</v>
      </c>
      <c r="BE24" s="4" t="str">
        <f>IF(AZ24=" przejściowy",1,"")</f>
        <v/>
      </c>
      <c r="BF24" s="4" t="str">
        <f>IF(AZ24=" krótkożyciowy",1,"")</f>
        <v/>
      </c>
      <c r="BG24" s="4" t="str">
        <f>IF(AZ24=" długożyciowy",1,"")</f>
        <v/>
      </c>
      <c r="BH24" s="4" t="e">
        <f>IF(A24="","",VLOOKUP(A24,#REF!,11,FALSE))</f>
        <v>#REF!</v>
      </c>
      <c r="BI24" s="4" t="e">
        <f t="shared" si="69"/>
        <v>#REF!</v>
      </c>
      <c r="BJ24" s="32" t="e">
        <f t="shared" si="70"/>
        <v>#REF!</v>
      </c>
      <c r="BK24" s="30" t="e">
        <f t="shared" si="71"/>
        <v>#REF!</v>
      </c>
      <c r="BL24" s="30" t="e">
        <f t="shared" si="72"/>
        <v>#REF!</v>
      </c>
      <c r="BM24" s="30" t="e">
        <f t="shared" si="73"/>
        <v>#REF!</v>
      </c>
      <c r="BN24" s="4" t="e">
        <f>VLOOKUP(A24,#REF!,11,FALSE)</f>
        <v>#REF!</v>
      </c>
    </row>
    <row r="25" spans="1:66" s="4" customFormat="1" x14ac:dyDescent="0.2">
      <c r="A25" s="4" t="s">
        <v>232</v>
      </c>
      <c r="B25" s="83"/>
      <c r="C25" s="4">
        <f>IF(A25="","",VLOOKUP(A25,'D-Value_A1_A2_Exempted'!$A$2:$S$372,19,FALSE))</f>
        <v>29.1</v>
      </c>
      <c r="D25" s="173" t="str">
        <f t="shared" si="29"/>
        <v/>
      </c>
      <c r="E25" s="6" t="str">
        <f t="shared" si="60"/>
        <v/>
      </c>
      <c r="F25" s="6" t="str">
        <f t="shared" si="61"/>
        <v/>
      </c>
      <c r="G25" s="84">
        <f>IF(A25="","",VLOOKUP(A25,'D-Value_A1_A2_Exempted'!$A$2:$S$372,17,FALSE))</f>
        <v>100</v>
      </c>
      <c r="H25" s="5">
        <f t="shared" si="30"/>
        <v>0</v>
      </c>
      <c r="I25" s="8">
        <f t="shared" si="74"/>
        <v>101000</v>
      </c>
      <c r="J25" s="8">
        <f t="shared" si="31"/>
        <v>101000</v>
      </c>
      <c r="K25" s="5">
        <f t="shared" si="32"/>
        <v>0</v>
      </c>
      <c r="L25" s="117">
        <f t="shared" si="40"/>
        <v>1.01</v>
      </c>
      <c r="M25" s="5">
        <f t="shared" si="33"/>
        <v>1.01</v>
      </c>
      <c r="N25" s="143">
        <f t="shared" si="76"/>
        <v>0</v>
      </c>
      <c r="O25" s="143">
        <f t="shared" si="77"/>
        <v>101000</v>
      </c>
      <c r="P25" s="143">
        <f t="shared" si="54"/>
        <v>101000</v>
      </c>
      <c r="Q25" s="143">
        <f t="shared" si="34"/>
        <v>0</v>
      </c>
      <c r="R25" s="143">
        <f t="shared" si="55"/>
        <v>101000</v>
      </c>
      <c r="S25" s="143">
        <f t="shared" si="35"/>
        <v>0</v>
      </c>
      <c r="T25" s="143">
        <f t="shared" si="41"/>
        <v>0</v>
      </c>
      <c r="U25" s="8">
        <f t="shared" si="62"/>
        <v>0</v>
      </c>
      <c r="V25" s="82" t="str">
        <f t="shared" si="4"/>
        <v>0</v>
      </c>
      <c r="W25" s="8">
        <f t="shared" si="36"/>
        <v>98921.450056279602</v>
      </c>
      <c r="X25" s="190">
        <f t="shared" si="5"/>
        <v>0</v>
      </c>
      <c r="Y25" s="190">
        <f t="shared" si="56"/>
        <v>0.98921450056279603</v>
      </c>
      <c r="Z25" s="8">
        <f t="shared" si="6"/>
        <v>0</v>
      </c>
      <c r="AA25" s="8">
        <f t="shared" si="63"/>
        <v>1</v>
      </c>
      <c r="AB25" s="8">
        <f t="shared" si="37"/>
        <v>0</v>
      </c>
      <c r="AC25" s="8">
        <f t="shared" si="43"/>
        <v>0</v>
      </c>
      <c r="AD25" s="8">
        <f t="shared" si="7"/>
        <v>0</v>
      </c>
      <c r="AE25" s="8">
        <f t="shared" si="75"/>
        <v>0</v>
      </c>
      <c r="AF25" s="8">
        <f t="shared" si="8"/>
        <v>0</v>
      </c>
      <c r="AG25" s="8">
        <f t="shared" si="78"/>
        <v>0</v>
      </c>
      <c r="AH25" s="8">
        <f t="shared" si="57"/>
        <v>0</v>
      </c>
      <c r="AI25" s="8">
        <f t="shared" si="79"/>
        <v>101000</v>
      </c>
      <c r="AJ25" s="167">
        <f t="shared" si="10"/>
        <v>0</v>
      </c>
      <c r="AK25" s="167">
        <f t="shared" si="58"/>
        <v>1.01</v>
      </c>
      <c r="AL25" s="109">
        <f t="shared" si="11"/>
        <v>0</v>
      </c>
      <c r="AM25" s="109">
        <f t="shared" si="80"/>
        <v>101000</v>
      </c>
      <c r="AN25" s="113">
        <f t="shared" si="12"/>
        <v>0</v>
      </c>
      <c r="AO25" s="137">
        <f t="shared" si="48"/>
        <v>1.01</v>
      </c>
      <c r="AP25" s="97">
        <f t="shared" si="13"/>
        <v>0</v>
      </c>
      <c r="AQ25" s="97">
        <f t="shared" si="49"/>
        <v>101000</v>
      </c>
      <c r="AR25" s="104">
        <f t="shared" si="14"/>
        <v>0</v>
      </c>
      <c r="AS25" s="125">
        <f t="shared" si="50"/>
        <v>1.01</v>
      </c>
      <c r="AT25" s="8"/>
      <c r="AU25" s="8"/>
      <c r="AV25" s="8"/>
      <c r="AW25" s="82" t="str">
        <f t="shared" si="64"/>
        <v/>
      </c>
      <c r="AX25" s="13" t="e">
        <f>IF(A25="","",B25*EXP(-(0.693*3/VLOOKUP(A25,#REF!,2,FALSE))))</f>
        <v>#REF!</v>
      </c>
      <c r="AY25" s="8" t="e">
        <f t="shared" si="65"/>
        <v>#REF!</v>
      </c>
      <c r="AZ25" s="12" t="str">
        <f t="shared" si="66"/>
        <v xml:space="preserve"> to nie jest odpad !!!</v>
      </c>
      <c r="BA25" s="12" t="e">
        <f>IF(A25="","",VLOOKUP(A25,#REF!,8,FALSE))</f>
        <v>#REF!</v>
      </c>
      <c r="BB25" s="6" t="e">
        <f t="shared" si="67"/>
        <v>#REF!</v>
      </c>
      <c r="BC25" s="4">
        <f t="shared" si="68"/>
        <v>1</v>
      </c>
      <c r="BD25" s="4">
        <f>IF(AZ25=" to nie jest odpad !!!",1,"")</f>
        <v>1</v>
      </c>
      <c r="BE25" s="4" t="str">
        <f>IF(AZ25=" przejściowy",1,"")</f>
        <v/>
      </c>
      <c r="BF25" s="4" t="str">
        <f>IF(AZ25=" krótkożyciowy",1,"")</f>
        <v/>
      </c>
      <c r="BG25" s="4" t="str">
        <f>IF(AZ25=" długożyciowy",1,"")</f>
        <v/>
      </c>
      <c r="BH25" s="4" t="e">
        <f>IF(A25="","",VLOOKUP(A25,#REF!,11,FALSE))</f>
        <v>#REF!</v>
      </c>
      <c r="BI25" s="4" t="e">
        <f t="shared" si="69"/>
        <v>#REF!</v>
      </c>
      <c r="BJ25" s="32" t="e">
        <f t="shared" si="70"/>
        <v>#REF!</v>
      </c>
      <c r="BK25" s="30" t="e">
        <f t="shared" si="71"/>
        <v>#REF!</v>
      </c>
      <c r="BL25" s="30" t="e">
        <f t="shared" si="72"/>
        <v>#REF!</v>
      </c>
      <c r="BM25" s="30" t="e">
        <f t="shared" si="73"/>
        <v>#REF!</v>
      </c>
      <c r="BN25" s="4" t="e">
        <f>VLOOKUP(A25,#REF!,11,FALSE)</f>
        <v>#REF!</v>
      </c>
    </row>
    <row r="26" spans="1:66" s="4" customFormat="1" x14ac:dyDescent="0.2">
      <c r="A26" s="4" t="s">
        <v>63</v>
      </c>
      <c r="B26" s="83"/>
      <c r="C26" s="4">
        <f>IF(A26="","",VLOOKUP(A26,'D-Value_A1_A2_Exempted'!$A$2:$S$372,19,FALSE))</f>
        <v>0.13826146475017101</v>
      </c>
      <c r="D26" s="173" t="str">
        <f t="shared" si="29"/>
        <v/>
      </c>
      <c r="E26" s="6" t="str">
        <f t="shared" si="60"/>
        <v/>
      </c>
      <c r="F26" s="6" t="str">
        <f t="shared" si="61"/>
        <v/>
      </c>
      <c r="G26" s="84">
        <f>IF(A26="","",VLOOKUP(A26,'D-Value_A1_A2_Exempted'!$A$2:$S$372,17,FALSE))</f>
        <v>1000</v>
      </c>
      <c r="H26" s="5">
        <f t="shared" si="30"/>
        <v>0</v>
      </c>
      <c r="I26" s="8">
        <f t="shared" si="74"/>
        <v>101000</v>
      </c>
      <c r="J26" s="8">
        <f t="shared" si="31"/>
        <v>101000</v>
      </c>
      <c r="K26" s="5">
        <f t="shared" si="32"/>
        <v>0</v>
      </c>
      <c r="L26" s="117">
        <f t="shared" si="40"/>
        <v>1.01</v>
      </c>
      <c r="M26" s="5">
        <f t="shared" si="33"/>
        <v>1.01</v>
      </c>
      <c r="N26" s="143">
        <f t="shared" si="76"/>
        <v>0</v>
      </c>
      <c r="O26" s="143">
        <f t="shared" si="77"/>
        <v>101000</v>
      </c>
      <c r="P26" s="143">
        <f t="shared" si="54"/>
        <v>101000</v>
      </c>
      <c r="Q26" s="143">
        <f t="shared" si="34"/>
        <v>0</v>
      </c>
      <c r="R26" s="143">
        <f t="shared" si="55"/>
        <v>101000</v>
      </c>
      <c r="S26" s="143">
        <f t="shared" si="35"/>
        <v>0</v>
      </c>
      <c r="T26" s="143">
        <f t="shared" si="41"/>
        <v>0</v>
      </c>
      <c r="U26" s="8">
        <f t="shared" si="62"/>
        <v>0</v>
      </c>
      <c r="V26" s="82" t="str">
        <f t="shared" si="4"/>
        <v>0</v>
      </c>
      <c r="W26" s="8">
        <f t="shared" si="36"/>
        <v>98921.450056279602</v>
      </c>
      <c r="X26" s="190">
        <f t="shared" si="5"/>
        <v>0</v>
      </c>
      <c r="Y26" s="190">
        <f t="shared" si="56"/>
        <v>0.98921450056279603</v>
      </c>
      <c r="Z26" s="8">
        <f t="shared" si="6"/>
        <v>0</v>
      </c>
      <c r="AA26" s="8">
        <f t="shared" si="63"/>
        <v>1</v>
      </c>
      <c r="AB26" s="8">
        <f t="shared" si="37"/>
        <v>0</v>
      </c>
      <c r="AC26" s="8">
        <f t="shared" si="43"/>
        <v>0</v>
      </c>
      <c r="AD26" s="8">
        <f t="shared" si="7"/>
        <v>0</v>
      </c>
      <c r="AE26" s="8">
        <f t="shared" si="75"/>
        <v>0</v>
      </c>
      <c r="AF26" s="8">
        <f t="shared" si="8"/>
        <v>0</v>
      </c>
      <c r="AG26" s="8">
        <f t="shared" si="78"/>
        <v>0</v>
      </c>
      <c r="AH26" s="8">
        <f t="shared" si="57"/>
        <v>0</v>
      </c>
      <c r="AI26" s="8">
        <f t="shared" si="79"/>
        <v>101000</v>
      </c>
      <c r="AJ26" s="167">
        <f t="shared" si="10"/>
        <v>0</v>
      </c>
      <c r="AK26" s="167">
        <f t="shared" si="58"/>
        <v>1.01</v>
      </c>
      <c r="AL26" s="109">
        <f t="shared" si="11"/>
        <v>0</v>
      </c>
      <c r="AM26" s="109">
        <f t="shared" si="80"/>
        <v>101000</v>
      </c>
      <c r="AN26" s="113">
        <f t="shared" si="12"/>
        <v>0</v>
      </c>
      <c r="AO26" s="137">
        <f t="shared" si="48"/>
        <v>1.01</v>
      </c>
      <c r="AP26" s="97">
        <f t="shared" si="13"/>
        <v>0</v>
      </c>
      <c r="AQ26" s="97">
        <f t="shared" si="49"/>
        <v>101000</v>
      </c>
      <c r="AR26" s="104">
        <f t="shared" si="14"/>
        <v>0</v>
      </c>
      <c r="AS26" s="125">
        <f t="shared" si="50"/>
        <v>1.01</v>
      </c>
      <c r="AT26" s="8"/>
      <c r="AU26" s="8"/>
      <c r="AV26" s="8"/>
      <c r="AW26" s="82" t="str">
        <f t="shared" si="64"/>
        <v/>
      </c>
      <c r="AX26" s="13" t="e">
        <f>IF(A26="","",B26*EXP(-(0.693*3/VLOOKUP(A26,#REF!,2,FALSE))))</f>
        <v>#REF!</v>
      </c>
      <c r="AY26" s="8" t="e">
        <f t="shared" si="65"/>
        <v>#REF!</v>
      </c>
      <c r="AZ26" s="12" t="str">
        <f t="shared" si="66"/>
        <v xml:space="preserve"> to nie jest odpad !!!</v>
      </c>
      <c r="BA26" s="12" t="e">
        <f>IF(A26="","",VLOOKUP(A26,#REF!,8,FALSE))</f>
        <v>#REF!</v>
      </c>
      <c r="BB26" s="6" t="e">
        <f t="shared" si="67"/>
        <v>#REF!</v>
      </c>
      <c r="BC26" s="4">
        <f t="shared" si="68"/>
        <v>1</v>
      </c>
      <c r="BD26" s="4">
        <f t="shared" si="20"/>
        <v>1</v>
      </c>
      <c r="BE26" s="4" t="str">
        <f t="shared" si="21"/>
        <v/>
      </c>
      <c r="BF26" s="4" t="str">
        <f t="shared" si="22"/>
        <v/>
      </c>
      <c r="BG26" s="4" t="str">
        <f t="shared" si="23"/>
        <v/>
      </c>
      <c r="BH26" s="4" t="e">
        <f>IF(A26="","",VLOOKUP(A26,#REF!,11,FALSE))</f>
        <v>#REF!</v>
      </c>
      <c r="BI26" s="4" t="e">
        <f t="shared" si="69"/>
        <v>#REF!</v>
      </c>
      <c r="BJ26" s="32" t="e">
        <f t="shared" si="70"/>
        <v>#REF!</v>
      </c>
      <c r="BK26" s="30" t="e">
        <f t="shared" si="71"/>
        <v>#REF!</v>
      </c>
      <c r="BL26" s="30" t="e">
        <f t="shared" si="72"/>
        <v>#REF!</v>
      </c>
      <c r="BM26" s="30" t="e">
        <f t="shared" si="73"/>
        <v>#REF!</v>
      </c>
      <c r="BN26" s="4" t="e">
        <f>VLOOKUP(A26,#REF!,11,FALSE)</f>
        <v>#REF!</v>
      </c>
    </row>
    <row r="27" spans="1:66" s="4" customFormat="1" x14ac:dyDescent="0.2">
      <c r="A27" s="4" t="s">
        <v>66</v>
      </c>
      <c r="B27" s="83"/>
      <c r="C27" s="4">
        <f>IF(A27="","",VLOOKUP(A27,'D-Value_A1_A2_Exempted'!$A$2:$S$372,19,FALSE))</f>
        <v>7.3100616016426997E-3</v>
      </c>
      <c r="D27" s="173" t="str">
        <f t="shared" si="29"/>
        <v/>
      </c>
      <c r="E27" s="6" t="str">
        <f t="shared" si="60"/>
        <v/>
      </c>
      <c r="F27" s="6" t="str">
        <f t="shared" si="61"/>
        <v/>
      </c>
      <c r="G27" s="84">
        <f>IF(A27="","",VLOOKUP(A27,'D-Value_A1_A2_Exempted'!$A$2:$S$372,17,FALSE))</f>
        <v>1000</v>
      </c>
      <c r="H27" s="5">
        <f t="shared" si="30"/>
        <v>0</v>
      </c>
      <c r="I27" s="8">
        <f t="shared" si="74"/>
        <v>101000</v>
      </c>
      <c r="J27" s="8">
        <f t="shared" si="31"/>
        <v>101000</v>
      </c>
      <c r="K27" s="5">
        <f t="shared" si="32"/>
        <v>0</v>
      </c>
      <c r="L27" s="117">
        <f t="shared" si="40"/>
        <v>1.01</v>
      </c>
      <c r="M27" s="5">
        <f t="shared" si="33"/>
        <v>1.01</v>
      </c>
      <c r="N27" s="143">
        <f t="shared" si="76"/>
        <v>0</v>
      </c>
      <c r="O27" s="143">
        <f t="shared" si="77"/>
        <v>101000</v>
      </c>
      <c r="P27" s="143">
        <f t="shared" si="54"/>
        <v>101000</v>
      </c>
      <c r="Q27" s="143">
        <f t="shared" si="34"/>
        <v>0</v>
      </c>
      <c r="R27" s="143">
        <f t="shared" si="55"/>
        <v>101000</v>
      </c>
      <c r="S27" s="143">
        <f t="shared" si="35"/>
        <v>0</v>
      </c>
      <c r="T27" s="143">
        <f t="shared" si="41"/>
        <v>0</v>
      </c>
      <c r="U27" s="8">
        <f t="shared" si="62"/>
        <v>0</v>
      </c>
      <c r="V27" s="82" t="str">
        <f t="shared" si="4"/>
        <v>0</v>
      </c>
      <c r="W27" s="8">
        <f t="shared" si="36"/>
        <v>98921.450056279602</v>
      </c>
      <c r="X27" s="190">
        <f t="shared" si="5"/>
        <v>0</v>
      </c>
      <c r="Y27" s="190">
        <f t="shared" si="56"/>
        <v>0.98921450056279603</v>
      </c>
      <c r="Z27" s="8">
        <f t="shared" si="6"/>
        <v>0</v>
      </c>
      <c r="AA27" s="8">
        <f t="shared" si="63"/>
        <v>1</v>
      </c>
      <c r="AB27" s="8">
        <f t="shared" si="37"/>
        <v>0</v>
      </c>
      <c r="AC27" s="8">
        <f t="shared" si="43"/>
        <v>0</v>
      </c>
      <c r="AD27" s="8">
        <f t="shared" si="7"/>
        <v>0</v>
      </c>
      <c r="AE27" s="8">
        <f t="shared" si="75"/>
        <v>0</v>
      </c>
      <c r="AF27" s="8">
        <f t="shared" si="8"/>
        <v>0</v>
      </c>
      <c r="AG27" s="8">
        <f t="shared" si="78"/>
        <v>0</v>
      </c>
      <c r="AH27" s="8">
        <f t="shared" si="57"/>
        <v>0</v>
      </c>
      <c r="AI27" s="8">
        <f t="shared" si="79"/>
        <v>101000</v>
      </c>
      <c r="AJ27" s="167">
        <f t="shared" si="10"/>
        <v>0</v>
      </c>
      <c r="AK27" s="167">
        <f t="shared" si="58"/>
        <v>1.01</v>
      </c>
      <c r="AL27" s="109">
        <f t="shared" si="11"/>
        <v>0</v>
      </c>
      <c r="AM27" s="109">
        <f t="shared" si="80"/>
        <v>101000</v>
      </c>
      <c r="AN27" s="113">
        <f t="shared" si="12"/>
        <v>0</v>
      </c>
      <c r="AO27" s="137">
        <f t="shared" si="48"/>
        <v>1.01</v>
      </c>
      <c r="AP27" s="97">
        <f t="shared" si="13"/>
        <v>0</v>
      </c>
      <c r="AQ27" s="97">
        <f t="shared" si="49"/>
        <v>101000</v>
      </c>
      <c r="AR27" s="104">
        <f t="shared" si="14"/>
        <v>0</v>
      </c>
      <c r="AS27" s="125">
        <f t="shared" si="50"/>
        <v>1.01</v>
      </c>
      <c r="AT27" s="8"/>
      <c r="AU27" s="8"/>
      <c r="AV27" s="8"/>
      <c r="AW27" s="82" t="str">
        <f t="shared" si="64"/>
        <v/>
      </c>
      <c r="AX27" s="13" t="e">
        <f>IF(A27="","",B27*EXP(-(0.693*3/VLOOKUP(A27,#REF!,2,FALSE))))</f>
        <v>#REF!</v>
      </c>
      <c r="AY27" s="8" t="e">
        <f t="shared" si="65"/>
        <v>#REF!</v>
      </c>
      <c r="AZ27" s="12" t="str">
        <f t="shared" si="66"/>
        <v xml:space="preserve"> to nie jest odpad !!!</v>
      </c>
      <c r="BA27" s="12" t="e">
        <f>IF(A27="","",VLOOKUP(A27,#REF!,8,FALSE))</f>
        <v>#REF!</v>
      </c>
      <c r="BB27" s="6" t="e">
        <f t="shared" si="67"/>
        <v>#REF!</v>
      </c>
      <c r="BC27" s="4">
        <f t="shared" si="68"/>
        <v>1</v>
      </c>
      <c r="BD27" s="4">
        <f>IF(AZ27=" to nie jest odpad !!!",1,"")</f>
        <v>1</v>
      </c>
      <c r="BE27" s="4" t="str">
        <f>IF(AZ27=" przejściowy",1,"")</f>
        <v/>
      </c>
      <c r="BF27" s="4" t="str">
        <f>IF(AZ27=" krótkożyciowy",1,"")</f>
        <v/>
      </c>
      <c r="BG27" s="4" t="str">
        <f>IF(AZ27=" długożyciowy",1,"")</f>
        <v/>
      </c>
      <c r="BH27" s="4" t="e">
        <f>IF(A27="","",VLOOKUP(A27,#REF!,11,FALSE))</f>
        <v>#REF!</v>
      </c>
      <c r="BI27" s="4" t="e">
        <f t="shared" si="69"/>
        <v>#REF!</v>
      </c>
      <c r="BJ27" s="32" t="e">
        <f t="shared" si="70"/>
        <v>#REF!</v>
      </c>
      <c r="BK27" s="30" t="e">
        <f t="shared" si="71"/>
        <v>#REF!</v>
      </c>
      <c r="BL27" s="30" t="e">
        <f t="shared" si="72"/>
        <v>#REF!</v>
      </c>
      <c r="BM27" s="30" t="e">
        <f t="shared" si="73"/>
        <v>#REF!</v>
      </c>
      <c r="BN27" s="4" t="e">
        <f>VLOOKUP(A27,#REF!,11,FALSE)</f>
        <v>#REF!</v>
      </c>
    </row>
    <row r="28" spans="1:66" s="4" customFormat="1" x14ac:dyDescent="0.2">
      <c r="A28" s="4" t="s">
        <v>253</v>
      </c>
      <c r="B28" s="83"/>
      <c r="C28" s="4">
        <f>IF(A28="","",VLOOKUP(A28,'D-Value_A1_A2_Exempted'!$A$2:$S$372,19,FALSE))</f>
        <v>4470000000</v>
      </c>
      <c r="D28" s="173" t="str">
        <f t="shared" si="29"/>
        <v>Alpha</v>
      </c>
      <c r="E28" s="6" t="str">
        <f t="shared" si="60"/>
        <v>L</v>
      </c>
      <c r="F28" s="6" t="str">
        <f t="shared" si="61"/>
        <v/>
      </c>
      <c r="G28" s="84">
        <f>IF(A28="","",VLOOKUP(A28,'D-Value_A1_A2_Exempted'!$A$2:$S$372,17,FALSE))</f>
        <v>10</v>
      </c>
      <c r="H28" s="5">
        <f t="shared" si="30"/>
        <v>0</v>
      </c>
      <c r="I28" s="8">
        <f t="shared" si="74"/>
        <v>101000</v>
      </c>
      <c r="J28" s="8">
        <f t="shared" si="31"/>
        <v>101000</v>
      </c>
      <c r="K28" s="5">
        <f t="shared" si="32"/>
        <v>0</v>
      </c>
      <c r="L28" s="117">
        <f t="shared" si="40"/>
        <v>1.01</v>
      </c>
      <c r="M28" s="5">
        <f t="shared" si="33"/>
        <v>1.01</v>
      </c>
      <c r="N28" s="143">
        <f t="shared" si="76"/>
        <v>0</v>
      </c>
      <c r="O28" s="143">
        <f t="shared" si="77"/>
        <v>101000</v>
      </c>
      <c r="P28" s="143">
        <f t="shared" si="54"/>
        <v>101000</v>
      </c>
      <c r="Q28" s="143">
        <f t="shared" si="34"/>
        <v>0</v>
      </c>
      <c r="R28" s="143">
        <f t="shared" si="55"/>
        <v>101000</v>
      </c>
      <c r="S28" s="143">
        <f t="shared" si="35"/>
        <v>0</v>
      </c>
      <c r="T28" s="143">
        <f t="shared" si="41"/>
        <v>0</v>
      </c>
      <c r="U28" s="8">
        <f t="shared" si="62"/>
        <v>0</v>
      </c>
      <c r="V28" s="82" t="str">
        <f t="shared" si="4"/>
        <v>0</v>
      </c>
      <c r="W28" s="8">
        <f t="shared" si="36"/>
        <v>98921.450056279602</v>
      </c>
      <c r="X28" s="190">
        <f t="shared" si="5"/>
        <v>0</v>
      </c>
      <c r="Y28" s="190">
        <f t="shared" si="56"/>
        <v>0.98921450056279603</v>
      </c>
      <c r="Z28" s="8">
        <f t="shared" si="6"/>
        <v>0</v>
      </c>
      <c r="AA28" s="8">
        <f t="shared" si="63"/>
        <v>1</v>
      </c>
      <c r="AB28" s="8">
        <f t="shared" si="37"/>
        <v>0</v>
      </c>
      <c r="AC28" s="8">
        <f t="shared" si="43"/>
        <v>0</v>
      </c>
      <c r="AD28" s="8">
        <f t="shared" si="7"/>
        <v>0</v>
      </c>
      <c r="AE28" s="8">
        <f t="shared" si="75"/>
        <v>0</v>
      </c>
      <c r="AF28" s="8">
        <f t="shared" si="8"/>
        <v>0</v>
      </c>
      <c r="AG28" s="8">
        <f t="shared" si="78"/>
        <v>0</v>
      </c>
      <c r="AH28" s="8">
        <f t="shared" si="57"/>
        <v>0</v>
      </c>
      <c r="AI28" s="8">
        <f t="shared" si="79"/>
        <v>101000</v>
      </c>
      <c r="AJ28" s="167">
        <f t="shared" si="10"/>
        <v>0</v>
      </c>
      <c r="AK28" s="167">
        <f t="shared" si="58"/>
        <v>1.01</v>
      </c>
      <c r="AL28" s="109">
        <f t="shared" si="11"/>
        <v>0</v>
      </c>
      <c r="AM28" s="109">
        <f t="shared" si="80"/>
        <v>101000</v>
      </c>
      <c r="AN28" s="113">
        <f t="shared" si="12"/>
        <v>0</v>
      </c>
      <c r="AO28" s="137">
        <f t="shared" si="48"/>
        <v>1.01</v>
      </c>
      <c r="AP28" s="97">
        <f t="shared" si="13"/>
        <v>0</v>
      </c>
      <c r="AQ28" s="97">
        <f t="shared" si="49"/>
        <v>101000</v>
      </c>
      <c r="AR28" s="104">
        <f t="shared" si="14"/>
        <v>0</v>
      </c>
      <c r="AS28" s="125">
        <f t="shared" si="50"/>
        <v>1.01</v>
      </c>
      <c r="AT28" s="8"/>
      <c r="AU28" s="8"/>
      <c r="AV28" s="8"/>
      <c r="AW28" s="82">
        <f t="shared" si="64"/>
        <v>0</v>
      </c>
      <c r="AX28" s="13" t="e">
        <f>IF(A28="","",B28*EXP(-(0.693*3/VLOOKUP(A28,#REF!,2,FALSE))))</f>
        <v>#REF!</v>
      </c>
      <c r="AY28" s="8" t="e">
        <f t="shared" si="65"/>
        <v>#REF!</v>
      </c>
      <c r="AZ28" s="12" t="str">
        <f t="shared" si="66"/>
        <v xml:space="preserve"> to nie jest odpad !!!</v>
      </c>
      <c r="BA28" s="12" t="e">
        <f>IF(A28="","",VLOOKUP(A28,#REF!,8,FALSE))</f>
        <v>#REF!</v>
      </c>
      <c r="BB28" s="6" t="e">
        <f t="shared" si="67"/>
        <v>#REF!</v>
      </c>
      <c r="BC28" s="4">
        <f t="shared" si="68"/>
        <v>1</v>
      </c>
      <c r="BD28" s="4">
        <f t="shared" ref="BD28:BD38" si="81">IF(AZ28=" to nie jest odpad !!!",1,"")</f>
        <v>1</v>
      </c>
      <c r="BE28" s="4" t="str">
        <f t="shared" ref="BE28:BE38" si="82">IF(AZ28=" przejściowy",1,"")</f>
        <v/>
      </c>
      <c r="BF28" s="4" t="str">
        <f t="shared" ref="BF28:BF38" si="83">IF(AZ28=" krótkożyciowy",1,"")</f>
        <v/>
      </c>
      <c r="BG28" s="4" t="str">
        <f t="shared" ref="BG28:BG38" si="84">IF(AZ28=" długożyciowy",1,"")</f>
        <v/>
      </c>
      <c r="BH28" s="4" t="e">
        <f>IF(A28="","",VLOOKUP(A28,#REF!,11,FALSE))</f>
        <v>#REF!</v>
      </c>
      <c r="BI28" s="4" t="e">
        <f t="shared" si="69"/>
        <v>#REF!</v>
      </c>
      <c r="BJ28" s="32" t="e">
        <f t="shared" si="70"/>
        <v>#REF!</v>
      </c>
      <c r="BK28" s="30" t="e">
        <f t="shared" si="71"/>
        <v>#REF!</v>
      </c>
      <c r="BL28" s="30" t="e">
        <f t="shared" si="72"/>
        <v>#REF!</v>
      </c>
      <c r="BM28" s="30" t="e">
        <f t="shared" si="73"/>
        <v>#REF!</v>
      </c>
      <c r="BN28" s="4" t="e">
        <f>VLOOKUP(A28,#REF!,11,FALSE)</f>
        <v>#REF!</v>
      </c>
    </row>
    <row r="29" spans="1:66" s="4" customFormat="1" x14ac:dyDescent="0.2">
      <c r="A29" s="4" t="s">
        <v>305</v>
      </c>
      <c r="B29" s="83"/>
      <c r="C29" s="4">
        <f>IF(A29="","",VLOOKUP(A29,'D-Value_A1_A2_Exempted'!$A$2:$S$372,19,FALSE))</f>
        <v>0.78850102669404498</v>
      </c>
      <c r="D29" s="173" t="str">
        <f t="shared" si="29"/>
        <v/>
      </c>
      <c r="E29" s="6" t="str">
        <f t="shared" si="60"/>
        <v/>
      </c>
      <c r="F29" s="6" t="str">
        <f t="shared" si="61"/>
        <v/>
      </c>
      <c r="G29" s="84">
        <f>IF(A29="","",VLOOKUP(A29,'D-Value_A1_A2_Exempted'!$A$2:$S$372,17,FALSE))</f>
        <v>10</v>
      </c>
      <c r="H29" s="5">
        <f t="shared" si="30"/>
        <v>0</v>
      </c>
      <c r="I29" s="8">
        <f t="shared" si="74"/>
        <v>101000</v>
      </c>
      <c r="J29" s="8">
        <f t="shared" si="31"/>
        <v>101000</v>
      </c>
      <c r="K29" s="5">
        <f t="shared" si="32"/>
        <v>0</v>
      </c>
      <c r="L29" s="117">
        <f t="shared" si="40"/>
        <v>1.01</v>
      </c>
      <c r="M29" s="5">
        <f t="shared" si="33"/>
        <v>1.01</v>
      </c>
      <c r="N29" s="143">
        <f t="shared" si="76"/>
        <v>0</v>
      </c>
      <c r="O29" s="143">
        <f t="shared" si="77"/>
        <v>101000</v>
      </c>
      <c r="P29" s="143">
        <f t="shared" si="54"/>
        <v>101000</v>
      </c>
      <c r="Q29" s="143">
        <f t="shared" si="34"/>
        <v>0</v>
      </c>
      <c r="R29" s="143">
        <f t="shared" si="55"/>
        <v>101000</v>
      </c>
      <c r="S29" s="143">
        <f t="shared" si="35"/>
        <v>0</v>
      </c>
      <c r="T29" s="143">
        <f t="shared" si="41"/>
        <v>0</v>
      </c>
      <c r="U29" s="8">
        <f t="shared" si="62"/>
        <v>0</v>
      </c>
      <c r="V29" s="82" t="str">
        <f t="shared" si="4"/>
        <v>0</v>
      </c>
      <c r="W29" s="8">
        <f t="shared" si="36"/>
        <v>98921.450056279602</v>
      </c>
      <c r="X29" s="190">
        <f t="shared" si="5"/>
        <v>0</v>
      </c>
      <c r="Y29" s="190">
        <f t="shared" si="56"/>
        <v>0.98921450056279603</v>
      </c>
      <c r="Z29" s="8">
        <f t="shared" si="6"/>
        <v>0</v>
      </c>
      <c r="AA29" s="8">
        <f t="shared" si="63"/>
        <v>1</v>
      </c>
      <c r="AB29" s="8">
        <f t="shared" si="37"/>
        <v>0</v>
      </c>
      <c r="AC29" s="8">
        <f t="shared" si="43"/>
        <v>0</v>
      </c>
      <c r="AD29" s="8">
        <f t="shared" si="7"/>
        <v>0</v>
      </c>
      <c r="AE29" s="8">
        <f t="shared" si="75"/>
        <v>0</v>
      </c>
      <c r="AF29" s="8">
        <f t="shared" si="8"/>
        <v>0</v>
      </c>
      <c r="AG29" s="8">
        <f t="shared" si="78"/>
        <v>0</v>
      </c>
      <c r="AH29" s="8">
        <f t="shared" si="57"/>
        <v>0</v>
      </c>
      <c r="AI29" s="8">
        <f t="shared" si="79"/>
        <v>101000</v>
      </c>
      <c r="AJ29" s="167">
        <f t="shared" si="10"/>
        <v>0</v>
      </c>
      <c r="AK29" s="167">
        <f t="shared" si="58"/>
        <v>1.01</v>
      </c>
      <c r="AL29" s="109">
        <f t="shared" si="11"/>
        <v>0</v>
      </c>
      <c r="AM29" s="109">
        <f t="shared" si="80"/>
        <v>101000</v>
      </c>
      <c r="AN29" s="113">
        <f t="shared" si="12"/>
        <v>0</v>
      </c>
      <c r="AO29" s="137">
        <f t="shared" si="48"/>
        <v>1.01</v>
      </c>
      <c r="AP29" s="97">
        <f t="shared" si="13"/>
        <v>0</v>
      </c>
      <c r="AQ29" s="97">
        <f t="shared" si="49"/>
        <v>101000</v>
      </c>
      <c r="AR29" s="104">
        <f t="shared" si="14"/>
        <v>0</v>
      </c>
      <c r="AS29" s="125">
        <f t="shared" si="50"/>
        <v>1.01</v>
      </c>
      <c r="AT29" s="8"/>
      <c r="AU29" s="8"/>
      <c r="AV29" s="8"/>
      <c r="AW29" s="82" t="str">
        <f t="shared" si="64"/>
        <v/>
      </c>
      <c r="AX29" s="13" t="e">
        <f>IF(A29="","",B29*EXP(-(0.693*3/VLOOKUP(A29,#REF!,2,FALSE))))</f>
        <v>#REF!</v>
      </c>
      <c r="AY29" s="8" t="e">
        <f t="shared" si="65"/>
        <v>#REF!</v>
      </c>
      <c r="AZ29" s="12" t="str">
        <f t="shared" si="66"/>
        <v xml:space="preserve"> to nie jest odpad !!!</v>
      </c>
      <c r="BA29" s="12" t="e">
        <f>IF(A29="","",VLOOKUP(A29,#REF!,8,FALSE))</f>
        <v>#REF!</v>
      </c>
      <c r="BB29" s="6" t="e">
        <f t="shared" si="67"/>
        <v>#REF!</v>
      </c>
      <c r="BC29" s="4">
        <f t="shared" si="68"/>
        <v>1</v>
      </c>
      <c r="BD29" s="4">
        <f>IF(AZ29=" to nie jest odpad !!!",1,"")</f>
        <v>1</v>
      </c>
      <c r="BE29" s="4" t="str">
        <f>IF(AZ29=" przejściowy",1,"")</f>
        <v/>
      </c>
      <c r="BF29" s="4" t="str">
        <f>IF(AZ29=" krótkożyciowy",1,"")</f>
        <v/>
      </c>
      <c r="BG29" s="4" t="str">
        <f>IF(AZ29=" długożyciowy",1,"")</f>
        <v/>
      </c>
      <c r="BH29" s="4" t="e">
        <f>IF(A29="","",VLOOKUP(A29,#REF!,11,FALSE))</f>
        <v>#REF!</v>
      </c>
      <c r="BI29" s="4" t="e">
        <f t="shared" si="69"/>
        <v>#REF!</v>
      </c>
      <c r="BJ29" s="32" t="e">
        <f t="shared" si="70"/>
        <v>#REF!</v>
      </c>
      <c r="BK29" s="30" t="e">
        <f t="shared" si="71"/>
        <v>#REF!</v>
      </c>
      <c r="BL29" s="30" t="e">
        <f t="shared" si="72"/>
        <v>#REF!</v>
      </c>
      <c r="BM29" s="30" t="e">
        <f t="shared" si="73"/>
        <v>#REF!</v>
      </c>
      <c r="BN29" s="4" t="e">
        <f>VLOOKUP(A29,#REF!,11,FALSE)</f>
        <v>#REF!</v>
      </c>
    </row>
    <row r="30" spans="1:66" s="4" customFormat="1" x14ac:dyDescent="0.2">
      <c r="A30" s="4" t="s">
        <v>132</v>
      </c>
      <c r="B30" s="83"/>
      <c r="C30" s="4">
        <f>IF(A30="","",VLOOKUP(A30,'D-Value_A1_A2_Exempted'!$A$2:$S$372,19,FALSE))</f>
        <v>5.3388090349076002E-3</v>
      </c>
      <c r="D30" s="173" t="str">
        <f t="shared" si="29"/>
        <v/>
      </c>
      <c r="E30" s="6" t="str">
        <f t="shared" si="60"/>
        <v/>
      </c>
      <c r="F30" s="6" t="str">
        <f t="shared" si="61"/>
        <v/>
      </c>
      <c r="G30" s="84">
        <f>IF(A30="","",VLOOKUP(A30,'D-Value_A1_A2_Exempted'!$A$2:$S$372,17,FALSE))</f>
        <v>100</v>
      </c>
      <c r="H30" s="5">
        <f t="shared" si="30"/>
        <v>0</v>
      </c>
      <c r="I30" s="8">
        <f t="shared" si="74"/>
        <v>101000</v>
      </c>
      <c r="J30" s="8">
        <f t="shared" si="31"/>
        <v>101000</v>
      </c>
      <c r="K30" s="5">
        <f t="shared" si="32"/>
        <v>0</v>
      </c>
      <c r="L30" s="117">
        <f t="shared" si="40"/>
        <v>1.01</v>
      </c>
      <c r="M30" s="5">
        <f t="shared" si="33"/>
        <v>1.01</v>
      </c>
      <c r="N30" s="143">
        <f t="shared" si="76"/>
        <v>0</v>
      </c>
      <c r="O30" s="143">
        <f t="shared" si="77"/>
        <v>101000</v>
      </c>
      <c r="P30" s="143">
        <f t="shared" si="54"/>
        <v>101000</v>
      </c>
      <c r="Q30" s="143">
        <f t="shared" si="34"/>
        <v>0</v>
      </c>
      <c r="R30" s="143">
        <f t="shared" si="55"/>
        <v>101000</v>
      </c>
      <c r="S30" s="143">
        <f t="shared" si="35"/>
        <v>0</v>
      </c>
      <c r="T30" s="143">
        <f t="shared" si="41"/>
        <v>0</v>
      </c>
      <c r="U30" s="8">
        <f t="shared" si="62"/>
        <v>0</v>
      </c>
      <c r="V30" s="82" t="str">
        <f t="shared" si="4"/>
        <v>0</v>
      </c>
      <c r="W30" s="8">
        <f t="shared" ref="W30:W35" si="85">V30+W29</f>
        <v>98921.450056279602</v>
      </c>
      <c r="X30" s="190">
        <f t="shared" ref="X30:X35" si="86">V30/G30</f>
        <v>0</v>
      </c>
      <c r="Y30" s="190">
        <f t="shared" ref="Y30:Y35" si="87">X30+Y29</f>
        <v>0.98921450056279603</v>
      </c>
      <c r="Z30" s="8">
        <f t="shared" ref="Z30:Z35" si="88">IF(B30="",0,IF(C30&gt;100/365,1,0))</f>
        <v>0</v>
      </c>
      <c r="AA30" s="8">
        <f t="shared" ref="AA30:AA35" si="89">AA29+Z30</f>
        <v>1</v>
      </c>
      <c r="AB30" s="8">
        <f t="shared" si="37"/>
        <v>0</v>
      </c>
      <c r="AC30" s="8">
        <f t="shared" si="43"/>
        <v>0</v>
      </c>
      <c r="AD30" s="8">
        <f t="shared" ref="AD30:AD35" si="90">IF(E30="L",H30,0)</f>
        <v>0</v>
      </c>
      <c r="AE30" s="8">
        <f t="shared" ref="AE30:AE35" si="91">AD30+AE29</f>
        <v>0</v>
      </c>
      <c r="AF30" s="8">
        <f t="shared" ref="AF30:AF35" si="92">AD30/G30</f>
        <v>0</v>
      </c>
      <c r="AG30" s="8">
        <f t="shared" ref="AG30:AG35" si="93">AF30+AG29</f>
        <v>0</v>
      </c>
      <c r="AH30" s="8">
        <f t="shared" ref="AH30:AH35" si="94">IF(F30="LB",H30,0)</f>
        <v>0</v>
      </c>
      <c r="AI30" s="8">
        <f t="shared" ref="AI30:AI35" si="95">AH30+AI29</f>
        <v>101000</v>
      </c>
      <c r="AJ30" s="167">
        <f t="shared" ref="AJ30:AJ35" si="96">AH30/G30</f>
        <v>0</v>
      </c>
      <c r="AK30" s="167">
        <f t="shared" ref="AK30:AK35" si="97">AJ30+AK29</f>
        <v>1.01</v>
      </c>
      <c r="AL30" s="109">
        <f t="shared" ref="AL30:AL35" si="98">IF(AND(C30&gt;30.2,K30&gt;=1),H30,0)</f>
        <v>0</v>
      </c>
      <c r="AM30" s="109">
        <f t="shared" ref="AM30:AM35" si="99">AL30+AM29</f>
        <v>101000</v>
      </c>
      <c r="AN30" s="113">
        <f t="shared" ref="AN30:AN35" si="100">IF(AL30=0,0,AL30/G30)</f>
        <v>0</v>
      </c>
      <c r="AO30" s="137">
        <f t="shared" ref="AO30:AO35" si="101">AN30+AO29</f>
        <v>1.01</v>
      </c>
      <c r="AP30" s="97">
        <f t="shared" ref="AP30:AP35" si="102">IF(C30&gt;30.2,H30,0)</f>
        <v>0</v>
      </c>
      <c r="AQ30" s="97">
        <f t="shared" ref="AQ30:AQ35" si="103">AP30+AQ29</f>
        <v>101000</v>
      </c>
      <c r="AR30" s="104">
        <f t="shared" ref="AR30:AR35" si="104">IF(AP30=0,0,AP30/G30)</f>
        <v>0</v>
      </c>
      <c r="AS30" s="125">
        <f t="shared" ref="AS30:AS35" si="105">AR30+AS29</f>
        <v>1.01</v>
      </c>
      <c r="AT30" s="8"/>
      <c r="AU30" s="8"/>
      <c r="AV30" s="8"/>
      <c r="AW30" s="82" t="str">
        <f t="shared" si="64"/>
        <v/>
      </c>
      <c r="AX30" s="13" t="e">
        <f>IF(A30="","",B30*EXP(-(0.693*3/VLOOKUP(A30,#REF!,2,FALSE))))</f>
        <v>#REF!</v>
      </c>
      <c r="AY30" s="8" t="e">
        <f t="shared" si="65"/>
        <v>#REF!</v>
      </c>
      <c r="AZ30" s="12" t="str">
        <f t="shared" si="66"/>
        <v xml:space="preserve"> to nie jest odpad !!!</v>
      </c>
      <c r="BA30" s="12" t="e">
        <f>IF(A30="","",VLOOKUP(A30,#REF!,8,FALSE))</f>
        <v>#REF!</v>
      </c>
      <c r="BB30" s="6" t="e">
        <f t="shared" si="67"/>
        <v>#REF!</v>
      </c>
      <c r="BC30" s="4">
        <f t="shared" si="68"/>
        <v>1</v>
      </c>
      <c r="BD30" s="4">
        <f>IF(AZ30=" to nie jest odpad !!!",1,"")</f>
        <v>1</v>
      </c>
      <c r="BE30" s="4" t="str">
        <f>IF(AZ30=" przejściowy",1,"")</f>
        <v/>
      </c>
      <c r="BF30" s="4" t="str">
        <f>IF(AZ30=" krótkożyciowy",1,"")</f>
        <v/>
      </c>
      <c r="BG30" s="4" t="str">
        <f>IF(AZ30=" długożyciowy",1,"")</f>
        <v/>
      </c>
      <c r="BH30" s="4" t="e">
        <f>IF(A30="","",VLOOKUP(A30,#REF!,11,FALSE))</f>
        <v>#REF!</v>
      </c>
      <c r="BI30" s="4" t="e">
        <f t="shared" si="69"/>
        <v>#REF!</v>
      </c>
      <c r="BJ30" s="32" t="e">
        <f t="shared" si="70"/>
        <v>#REF!</v>
      </c>
      <c r="BK30" s="30" t="e">
        <f t="shared" si="71"/>
        <v>#REF!</v>
      </c>
      <c r="BL30" s="30" t="e">
        <f t="shared" si="72"/>
        <v>#REF!</v>
      </c>
      <c r="BM30" s="30" t="e">
        <f t="shared" si="73"/>
        <v>#REF!</v>
      </c>
      <c r="BN30" s="4" t="e">
        <f>VLOOKUP(A30,#REF!,11,FALSE)</f>
        <v>#REF!</v>
      </c>
    </row>
    <row r="31" spans="1:66" s="4" customFormat="1" x14ac:dyDescent="0.2">
      <c r="A31" s="4" t="s">
        <v>14</v>
      </c>
      <c r="B31" s="83"/>
      <c r="C31" s="4">
        <f>IF(A31="","",VLOOKUP(A31,'D-Value_A1_A2_Exempted'!$A$2:$S$372,19,FALSE))</f>
        <v>3.9151266255989102E-2</v>
      </c>
      <c r="D31" s="173" t="str">
        <f t="shared" si="29"/>
        <v/>
      </c>
      <c r="E31" s="6" t="str">
        <f t="shared" ref="E31" si="106">IF(OR(A31="Am-241",A31="Am-241-Be",A31="Am-242",A31="Am-242",A31="Pu-238",A31="Pu-239",A31="Ra-226",A31="Th-232",A31="Th-230",A31="U-233",A31="U-234",A31="U-235",A31="U-236",A31="U-238"),"L","")</f>
        <v/>
      </c>
      <c r="F31" s="6" t="str">
        <f t="shared" ref="F31" si="107">IF(OR(A31="C-14",A31="Cl-36",A31="Ni-63"),"LB","")</f>
        <v/>
      </c>
      <c r="G31" s="84">
        <f>IF(A31="","",VLOOKUP(A31,'D-Value_A1_A2_Exempted'!$A$2:$S$372,17,FALSE))</f>
        <v>1000</v>
      </c>
      <c r="H31" s="5">
        <f t="shared" ref="H31" si="108">IF(A31="","",B31/$B$1*1000)</f>
        <v>0</v>
      </c>
      <c r="I31" s="8">
        <f t="shared" ref="I31:I36" si="109">H31+I30</f>
        <v>101000</v>
      </c>
      <c r="J31" s="8">
        <f t="shared" ref="J31:J33" si="110">IF(Z31=1,J30+H31,J30)</f>
        <v>101000</v>
      </c>
      <c r="K31" s="5">
        <f t="shared" ref="K31" si="111">H31/G31</f>
        <v>0</v>
      </c>
      <c r="L31" s="117">
        <f t="shared" ref="L31:L34" si="112">K31+L30</f>
        <v>1.01</v>
      </c>
      <c r="M31" s="5">
        <f t="shared" si="33"/>
        <v>1.01</v>
      </c>
      <c r="N31" s="143">
        <f t="shared" si="76"/>
        <v>0</v>
      </c>
      <c r="O31" s="143">
        <f t="shared" si="77"/>
        <v>101000</v>
      </c>
      <c r="P31" s="143">
        <f t="shared" si="54"/>
        <v>101000</v>
      </c>
      <c r="Q31" s="143">
        <f t="shared" si="34"/>
        <v>0</v>
      </c>
      <c r="R31" s="143">
        <f t="shared" si="55"/>
        <v>101000</v>
      </c>
      <c r="S31" s="143">
        <f t="shared" si="35"/>
        <v>0</v>
      </c>
      <c r="T31" s="143">
        <f t="shared" ref="T31:T34" si="113">T30+S31</f>
        <v>0</v>
      </c>
      <c r="U31" s="8">
        <f t="shared" si="62"/>
        <v>0</v>
      </c>
      <c r="V31" s="82" t="str">
        <f t="shared" ref="V31" si="114">IF(B31="","0",U31/$B$1)</f>
        <v>0</v>
      </c>
      <c r="W31" s="8">
        <f t="shared" si="85"/>
        <v>98921.450056279602</v>
      </c>
      <c r="X31" s="190">
        <f t="shared" si="86"/>
        <v>0</v>
      </c>
      <c r="Y31" s="190">
        <f t="shared" si="87"/>
        <v>0.98921450056279603</v>
      </c>
      <c r="Z31" s="8">
        <f t="shared" si="88"/>
        <v>0</v>
      </c>
      <c r="AA31" s="8">
        <f t="shared" si="89"/>
        <v>1</v>
      </c>
      <c r="AB31" s="8">
        <f t="shared" si="37"/>
        <v>0</v>
      </c>
      <c r="AC31" s="8">
        <f t="shared" si="43"/>
        <v>0</v>
      </c>
      <c r="AD31" s="8">
        <f t="shared" si="90"/>
        <v>0</v>
      </c>
      <c r="AE31" s="8">
        <f t="shared" si="91"/>
        <v>0</v>
      </c>
      <c r="AF31" s="8">
        <f t="shared" si="92"/>
        <v>0</v>
      </c>
      <c r="AG31" s="8">
        <f t="shared" si="93"/>
        <v>0</v>
      </c>
      <c r="AH31" s="8">
        <f t="shared" si="94"/>
        <v>0</v>
      </c>
      <c r="AI31" s="8">
        <f t="shared" si="95"/>
        <v>101000</v>
      </c>
      <c r="AJ31" s="167">
        <f t="shared" si="96"/>
        <v>0</v>
      </c>
      <c r="AK31" s="167">
        <f t="shared" si="97"/>
        <v>1.01</v>
      </c>
      <c r="AL31" s="109">
        <f t="shared" si="98"/>
        <v>0</v>
      </c>
      <c r="AM31" s="109">
        <f t="shared" si="99"/>
        <v>101000</v>
      </c>
      <c r="AN31" s="113">
        <f t="shared" si="100"/>
        <v>0</v>
      </c>
      <c r="AO31" s="137">
        <f t="shared" si="101"/>
        <v>1.01</v>
      </c>
      <c r="AP31" s="97">
        <f t="shared" si="102"/>
        <v>0</v>
      </c>
      <c r="AQ31" s="97">
        <f t="shared" si="103"/>
        <v>101000</v>
      </c>
      <c r="AR31" s="104">
        <f t="shared" si="104"/>
        <v>0</v>
      </c>
      <c r="AS31" s="125">
        <f t="shared" si="105"/>
        <v>1.01</v>
      </c>
      <c r="AT31" s="8"/>
      <c r="AU31" s="8"/>
      <c r="AV31" s="8"/>
      <c r="AW31" s="82"/>
      <c r="AX31" s="13"/>
      <c r="AY31" s="8"/>
      <c r="AZ31" s="12"/>
      <c r="BA31" s="12"/>
      <c r="BB31" s="6"/>
      <c r="BJ31" s="32"/>
      <c r="BK31" s="30"/>
      <c r="BL31" s="30"/>
      <c r="BM31" s="30"/>
    </row>
    <row r="32" spans="1:66" s="4" customFormat="1" x14ac:dyDescent="0.2">
      <c r="A32" s="4" t="s">
        <v>102</v>
      </c>
      <c r="B32" s="83"/>
      <c r="C32" s="4">
        <f>IF(A32="","",VLOOKUP(A32,'D-Value_A1_A2_Exempted'!$A$2:$S$372,19,FALSE))</f>
        <v>0.32772073921971201</v>
      </c>
      <c r="D32" s="173" t="str">
        <f t="shared" si="29"/>
        <v/>
      </c>
      <c r="E32" s="6" t="str">
        <f t="shared" si="60"/>
        <v/>
      </c>
      <c r="F32" s="6" t="str">
        <f t="shared" si="61"/>
        <v/>
      </c>
      <c r="G32" s="84">
        <f>IF(A32="","",VLOOKUP(A32,'D-Value_A1_A2_Exempted'!$A$2:$S$372,17,FALSE))</f>
        <v>100</v>
      </c>
      <c r="H32" s="5">
        <f t="shared" si="30"/>
        <v>0</v>
      </c>
      <c r="I32" s="8">
        <f t="shared" si="109"/>
        <v>101000</v>
      </c>
      <c r="J32" s="8">
        <f t="shared" si="110"/>
        <v>101000</v>
      </c>
      <c r="K32" s="5">
        <f t="shared" si="32"/>
        <v>0</v>
      </c>
      <c r="L32" s="117">
        <f t="shared" si="112"/>
        <v>1.01</v>
      </c>
      <c r="M32" s="5">
        <f t="shared" si="33"/>
        <v>1.01</v>
      </c>
      <c r="N32" s="143">
        <f t="shared" si="76"/>
        <v>0</v>
      </c>
      <c r="O32" s="143">
        <f t="shared" si="77"/>
        <v>101000</v>
      </c>
      <c r="P32" s="143">
        <f t="shared" si="54"/>
        <v>101000</v>
      </c>
      <c r="Q32" s="143">
        <f t="shared" si="34"/>
        <v>0</v>
      </c>
      <c r="R32" s="143">
        <f t="shared" si="55"/>
        <v>101000</v>
      </c>
      <c r="S32" s="143">
        <f t="shared" si="35"/>
        <v>0</v>
      </c>
      <c r="T32" s="143">
        <f t="shared" si="113"/>
        <v>0</v>
      </c>
      <c r="U32" s="8">
        <f t="shared" si="62"/>
        <v>0</v>
      </c>
      <c r="V32" s="82" t="str">
        <f t="shared" si="4"/>
        <v>0</v>
      </c>
      <c r="W32" s="8">
        <f t="shared" si="85"/>
        <v>98921.450056279602</v>
      </c>
      <c r="X32" s="190">
        <f t="shared" si="86"/>
        <v>0</v>
      </c>
      <c r="Y32" s="190">
        <f t="shared" si="87"/>
        <v>0.98921450056279603</v>
      </c>
      <c r="Z32" s="8">
        <f t="shared" si="88"/>
        <v>0</v>
      </c>
      <c r="AA32" s="8">
        <f t="shared" si="89"/>
        <v>1</v>
      </c>
      <c r="AB32" s="8">
        <f t="shared" si="37"/>
        <v>0</v>
      </c>
      <c r="AC32" s="8">
        <f t="shared" si="43"/>
        <v>0</v>
      </c>
      <c r="AD32" s="8">
        <f t="shared" si="90"/>
        <v>0</v>
      </c>
      <c r="AE32" s="8">
        <f t="shared" si="91"/>
        <v>0</v>
      </c>
      <c r="AF32" s="8">
        <f t="shared" si="92"/>
        <v>0</v>
      </c>
      <c r="AG32" s="8">
        <f t="shared" si="93"/>
        <v>0</v>
      </c>
      <c r="AH32" s="8">
        <f t="shared" si="94"/>
        <v>0</v>
      </c>
      <c r="AI32" s="8">
        <f t="shared" si="95"/>
        <v>101000</v>
      </c>
      <c r="AJ32" s="167">
        <f t="shared" si="96"/>
        <v>0</v>
      </c>
      <c r="AK32" s="167">
        <f t="shared" si="97"/>
        <v>1.01</v>
      </c>
      <c r="AL32" s="109">
        <f t="shared" si="98"/>
        <v>0</v>
      </c>
      <c r="AM32" s="109">
        <f t="shared" si="99"/>
        <v>101000</v>
      </c>
      <c r="AN32" s="113">
        <f t="shared" si="100"/>
        <v>0</v>
      </c>
      <c r="AO32" s="137">
        <f t="shared" si="101"/>
        <v>1.01</v>
      </c>
      <c r="AP32" s="97">
        <f t="shared" si="102"/>
        <v>0</v>
      </c>
      <c r="AQ32" s="97">
        <f t="shared" si="103"/>
        <v>101000</v>
      </c>
      <c r="AR32" s="104">
        <f t="shared" si="104"/>
        <v>0</v>
      </c>
      <c r="AS32" s="125">
        <f t="shared" si="105"/>
        <v>1.01</v>
      </c>
      <c r="AT32" s="8"/>
      <c r="AU32" s="8"/>
      <c r="AV32" s="8"/>
      <c r="AW32" s="82" t="str">
        <f t="shared" si="64"/>
        <v/>
      </c>
      <c r="AX32" s="13" t="e">
        <f>IF(A32="","",B32*EXP(-(0.693*3/VLOOKUP(A32,#REF!,2,FALSE))))</f>
        <v>#REF!</v>
      </c>
      <c r="AY32" s="8" t="e">
        <f t="shared" si="65"/>
        <v>#REF!</v>
      </c>
      <c r="AZ32" s="12" t="str">
        <f t="shared" si="66"/>
        <v xml:space="preserve"> to nie jest odpad !!!</v>
      </c>
      <c r="BA32" s="12" t="e">
        <f>IF(A32="","",VLOOKUP(A32,#REF!,8,FALSE))</f>
        <v>#REF!</v>
      </c>
      <c r="BB32" s="6" t="e">
        <f t="shared" si="67"/>
        <v>#REF!</v>
      </c>
      <c r="BC32" s="4">
        <f t="shared" si="68"/>
        <v>1</v>
      </c>
      <c r="BD32" s="4">
        <f t="shared" si="81"/>
        <v>1</v>
      </c>
      <c r="BE32" s="4" t="str">
        <f t="shared" si="82"/>
        <v/>
      </c>
      <c r="BF32" s="4" t="str">
        <f t="shared" si="83"/>
        <v/>
      </c>
      <c r="BG32" s="4" t="str">
        <f t="shared" si="84"/>
        <v/>
      </c>
      <c r="BH32" s="4" t="e">
        <f>IF(A32="","",VLOOKUP(A32,#REF!,11,FALSE))</f>
        <v>#REF!</v>
      </c>
      <c r="BI32" s="4" t="e">
        <f t="shared" si="69"/>
        <v>#REF!</v>
      </c>
      <c r="BJ32" s="32" t="e">
        <f t="shared" si="70"/>
        <v>#REF!</v>
      </c>
      <c r="BK32" s="30" t="e">
        <f t="shared" si="71"/>
        <v>#REF!</v>
      </c>
      <c r="BL32" s="30" t="e">
        <f t="shared" si="72"/>
        <v>#REF!</v>
      </c>
      <c r="BM32" s="30" t="e">
        <f t="shared" si="73"/>
        <v>#REF!</v>
      </c>
      <c r="BN32" s="4" t="e">
        <f>VLOOKUP(A32,#REF!,11,FALSE)</f>
        <v>#REF!</v>
      </c>
    </row>
    <row r="33" spans="1:66" s="4" customFormat="1" x14ac:dyDescent="0.2">
      <c r="A33" s="4" t="s">
        <v>105</v>
      </c>
      <c r="B33" s="83"/>
      <c r="C33" s="4">
        <f>IF(A33="","",VLOOKUP(A33,'D-Value_A1_A2_Exempted'!$A$2:$S$372,19,FALSE))</f>
        <v>0.29842573579739901</v>
      </c>
      <c r="D33" s="173" t="str">
        <f t="shared" si="29"/>
        <v/>
      </c>
      <c r="E33" s="6" t="str">
        <f t="shared" si="60"/>
        <v/>
      </c>
      <c r="F33" s="6" t="str">
        <f t="shared" si="61"/>
        <v/>
      </c>
      <c r="G33" s="84">
        <f>IF(A33="","",VLOOKUP(A33,'D-Value_A1_A2_Exempted'!$A$2:$S$372,17,FALSE))</f>
        <v>1000</v>
      </c>
      <c r="H33" s="5">
        <f t="shared" si="30"/>
        <v>0</v>
      </c>
      <c r="I33" s="8">
        <f t="shared" si="109"/>
        <v>101000</v>
      </c>
      <c r="J33" s="8">
        <f t="shared" si="110"/>
        <v>101000</v>
      </c>
      <c r="K33" s="5">
        <f t="shared" si="32"/>
        <v>0</v>
      </c>
      <c r="L33" s="117">
        <f t="shared" si="112"/>
        <v>1.01</v>
      </c>
      <c r="M33" s="5">
        <f t="shared" si="33"/>
        <v>1.01</v>
      </c>
      <c r="N33" s="143">
        <f t="shared" si="76"/>
        <v>0</v>
      </c>
      <c r="O33" s="143">
        <f t="shared" si="77"/>
        <v>101000</v>
      </c>
      <c r="P33" s="143">
        <f t="shared" si="54"/>
        <v>101000</v>
      </c>
      <c r="Q33" s="143">
        <f t="shared" si="34"/>
        <v>0</v>
      </c>
      <c r="R33" s="143">
        <f t="shared" si="55"/>
        <v>101000</v>
      </c>
      <c r="S33" s="143">
        <f t="shared" si="35"/>
        <v>0</v>
      </c>
      <c r="T33" s="143">
        <f t="shared" si="113"/>
        <v>0</v>
      </c>
      <c r="U33" s="8">
        <f t="shared" si="62"/>
        <v>0</v>
      </c>
      <c r="V33" s="82" t="str">
        <f t="shared" si="4"/>
        <v>0</v>
      </c>
      <c r="W33" s="8">
        <f t="shared" si="85"/>
        <v>98921.450056279602</v>
      </c>
      <c r="X33" s="190">
        <f t="shared" si="86"/>
        <v>0</v>
      </c>
      <c r="Y33" s="190">
        <f t="shared" si="87"/>
        <v>0.98921450056279603</v>
      </c>
      <c r="Z33" s="8">
        <f t="shared" si="88"/>
        <v>0</v>
      </c>
      <c r="AA33" s="8">
        <f t="shared" si="89"/>
        <v>1</v>
      </c>
      <c r="AB33" s="8">
        <f t="shared" si="37"/>
        <v>0</v>
      </c>
      <c r="AC33" s="8">
        <f t="shared" si="43"/>
        <v>0</v>
      </c>
      <c r="AD33" s="8">
        <f t="shared" si="90"/>
        <v>0</v>
      </c>
      <c r="AE33" s="8">
        <f t="shared" si="91"/>
        <v>0</v>
      </c>
      <c r="AF33" s="8">
        <f t="shared" si="92"/>
        <v>0</v>
      </c>
      <c r="AG33" s="8">
        <f t="shared" si="93"/>
        <v>0</v>
      </c>
      <c r="AH33" s="8">
        <f t="shared" si="94"/>
        <v>0</v>
      </c>
      <c r="AI33" s="8">
        <f t="shared" si="95"/>
        <v>101000</v>
      </c>
      <c r="AJ33" s="167">
        <f t="shared" si="96"/>
        <v>0</v>
      </c>
      <c r="AK33" s="167">
        <f t="shared" si="97"/>
        <v>1.01</v>
      </c>
      <c r="AL33" s="109">
        <f t="shared" si="98"/>
        <v>0</v>
      </c>
      <c r="AM33" s="109">
        <f t="shared" si="99"/>
        <v>101000</v>
      </c>
      <c r="AN33" s="113">
        <f t="shared" si="100"/>
        <v>0</v>
      </c>
      <c r="AO33" s="137">
        <f t="shared" si="101"/>
        <v>1.01</v>
      </c>
      <c r="AP33" s="97">
        <f t="shared" si="102"/>
        <v>0</v>
      </c>
      <c r="AQ33" s="97">
        <f t="shared" si="103"/>
        <v>101000</v>
      </c>
      <c r="AR33" s="104">
        <f t="shared" si="104"/>
        <v>0</v>
      </c>
      <c r="AS33" s="125">
        <f t="shared" si="105"/>
        <v>1.01</v>
      </c>
      <c r="AT33" s="8"/>
      <c r="AU33" s="8"/>
      <c r="AV33" s="8"/>
      <c r="AW33" s="82" t="str">
        <f t="shared" si="64"/>
        <v/>
      </c>
      <c r="AX33" s="13" t="e">
        <f>IF(A33="","",B33*EXP(-(0.693*3/VLOOKUP(A33,#REF!,2,FALSE))))</f>
        <v>#REF!</v>
      </c>
      <c r="AY33" s="8" t="e">
        <f t="shared" si="65"/>
        <v>#REF!</v>
      </c>
      <c r="AZ33" s="12" t="str">
        <f t="shared" si="66"/>
        <v xml:space="preserve"> to nie jest odpad !!!</v>
      </c>
      <c r="BA33" s="12" t="e">
        <f>IF(A33="","",VLOOKUP(A33,#REF!,8,FALSE))</f>
        <v>#REF!</v>
      </c>
      <c r="BB33" s="6" t="e">
        <f t="shared" si="67"/>
        <v>#REF!</v>
      </c>
      <c r="BC33" s="4">
        <f t="shared" si="68"/>
        <v>1</v>
      </c>
      <c r="BD33" s="4">
        <f t="shared" si="81"/>
        <v>1</v>
      </c>
      <c r="BE33" s="4" t="str">
        <f t="shared" si="82"/>
        <v/>
      </c>
      <c r="BF33" s="4" t="str">
        <f t="shared" si="83"/>
        <v/>
      </c>
      <c r="BG33" s="4" t="str">
        <f t="shared" si="84"/>
        <v/>
      </c>
      <c r="BH33" s="4" t="e">
        <f>IF(A33="","",VLOOKUP(A33,#REF!,11,FALSE))</f>
        <v>#REF!</v>
      </c>
      <c r="BI33" s="4" t="e">
        <f t="shared" si="69"/>
        <v>#REF!</v>
      </c>
      <c r="BJ33" s="32" t="e">
        <f t="shared" si="70"/>
        <v>#REF!</v>
      </c>
      <c r="BK33" s="30" t="e">
        <f t="shared" si="71"/>
        <v>#REF!</v>
      </c>
      <c r="BL33" s="30" t="e">
        <f t="shared" si="72"/>
        <v>#REF!</v>
      </c>
      <c r="BM33" s="30" t="e">
        <f t="shared" si="73"/>
        <v>#REF!</v>
      </c>
      <c r="BN33" s="4" t="e">
        <f>VLOOKUP(A33,#REF!,11,FALSE)</f>
        <v>#REF!</v>
      </c>
    </row>
    <row r="34" spans="1:66" s="4" customFormat="1" x14ac:dyDescent="0.2">
      <c r="A34" s="4" t="s">
        <v>104</v>
      </c>
      <c r="B34" s="83"/>
      <c r="C34" s="4">
        <f>IF(A34="","",VLOOKUP(A34,'D-Value_A1_A2_Exempted'!$A$2:$S$372,19,FALSE))</f>
        <v>1.0666210358201999E-3</v>
      </c>
      <c r="D34" s="173" t="str">
        <f t="shared" si="29"/>
        <v/>
      </c>
      <c r="E34" s="6" t="str">
        <f t="shared" si="60"/>
        <v/>
      </c>
      <c r="F34" s="6" t="str">
        <f t="shared" si="61"/>
        <v/>
      </c>
      <c r="G34" s="84">
        <f>IF(A34="","",VLOOKUP(A34,'D-Value_A1_A2_Exempted'!$A$2:$S$372,17,FALSE))</f>
        <v>1000</v>
      </c>
      <c r="H34" s="5">
        <f t="shared" si="30"/>
        <v>0</v>
      </c>
      <c r="I34" s="8">
        <f t="shared" si="109"/>
        <v>101000</v>
      </c>
      <c r="J34" s="8">
        <f t="shared" si="31"/>
        <v>101000</v>
      </c>
      <c r="K34" s="5">
        <f t="shared" si="32"/>
        <v>0</v>
      </c>
      <c r="L34" s="117">
        <f t="shared" si="112"/>
        <v>1.01</v>
      </c>
      <c r="M34" s="5">
        <f t="shared" si="33"/>
        <v>1.01</v>
      </c>
      <c r="N34" s="143">
        <f t="shared" si="76"/>
        <v>0</v>
      </c>
      <c r="O34" s="143">
        <f t="shared" si="77"/>
        <v>101000</v>
      </c>
      <c r="P34" s="143">
        <f t="shared" si="54"/>
        <v>101000</v>
      </c>
      <c r="Q34" s="143">
        <f t="shared" si="34"/>
        <v>0</v>
      </c>
      <c r="R34" s="143">
        <f t="shared" si="55"/>
        <v>101000</v>
      </c>
      <c r="S34" s="143">
        <f t="shared" si="35"/>
        <v>0</v>
      </c>
      <c r="T34" s="143">
        <f t="shared" si="113"/>
        <v>0</v>
      </c>
      <c r="U34" s="8">
        <f t="shared" si="62"/>
        <v>0</v>
      </c>
      <c r="V34" s="82" t="str">
        <f t="shared" si="4"/>
        <v>0</v>
      </c>
      <c r="W34" s="8">
        <f t="shared" si="85"/>
        <v>98921.450056279602</v>
      </c>
      <c r="X34" s="190">
        <f t="shared" si="86"/>
        <v>0</v>
      </c>
      <c r="Y34" s="190">
        <f t="shared" si="87"/>
        <v>0.98921450056279603</v>
      </c>
      <c r="Z34" s="8">
        <f t="shared" si="88"/>
        <v>0</v>
      </c>
      <c r="AA34" s="8">
        <f t="shared" si="89"/>
        <v>1</v>
      </c>
      <c r="AB34" s="8">
        <f t="shared" si="37"/>
        <v>0</v>
      </c>
      <c r="AC34" s="8">
        <f t="shared" si="43"/>
        <v>0</v>
      </c>
      <c r="AD34" s="8">
        <f t="shared" si="90"/>
        <v>0</v>
      </c>
      <c r="AE34" s="8">
        <f t="shared" si="91"/>
        <v>0</v>
      </c>
      <c r="AF34" s="8">
        <f t="shared" si="92"/>
        <v>0</v>
      </c>
      <c r="AG34" s="8">
        <f t="shared" si="93"/>
        <v>0</v>
      </c>
      <c r="AH34" s="8">
        <f t="shared" si="94"/>
        <v>0</v>
      </c>
      <c r="AI34" s="8">
        <f t="shared" si="95"/>
        <v>101000</v>
      </c>
      <c r="AJ34" s="167">
        <f t="shared" si="96"/>
        <v>0</v>
      </c>
      <c r="AK34" s="167">
        <f t="shared" si="97"/>
        <v>1.01</v>
      </c>
      <c r="AL34" s="109">
        <f t="shared" si="98"/>
        <v>0</v>
      </c>
      <c r="AM34" s="109">
        <f t="shared" si="99"/>
        <v>101000</v>
      </c>
      <c r="AN34" s="113">
        <f t="shared" si="100"/>
        <v>0</v>
      </c>
      <c r="AO34" s="137">
        <f t="shared" si="101"/>
        <v>1.01</v>
      </c>
      <c r="AP34" s="97">
        <f t="shared" si="102"/>
        <v>0</v>
      </c>
      <c r="AQ34" s="97">
        <f t="shared" si="103"/>
        <v>101000</v>
      </c>
      <c r="AR34" s="104">
        <f t="shared" si="104"/>
        <v>0</v>
      </c>
      <c r="AS34" s="125">
        <f t="shared" si="105"/>
        <v>1.01</v>
      </c>
      <c r="AT34" s="8"/>
      <c r="AU34" s="8"/>
      <c r="AV34" s="8"/>
      <c r="AW34" s="82" t="str">
        <f t="shared" si="64"/>
        <v/>
      </c>
      <c r="AX34" s="13" t="e">
        <f>IF(A34="","",B34*EXP(-(0.693*3/VLOOKUP(A34,#REF!,2,FALSE))))</f>
        <v>#REF!</v>
      </c>
      <c r="AY34" s="8" t="e">
        <f t="shared" si="65"/>
        <v>#REF!</v>
      </c>
      <c r="AZ34" s="12" t="str">
        <f t="shared" si="66"/>
        <v xml:space="preserve"> to nie jest odpad !!!</v>
      </c>
      <c r="BA34" s="12" t="e">
        <f>IF(A34="","",VLOOKUP(A34,#REF!,8,FALSE))</f>
        <v>#REF!</v>
      </c>
      <c r="BB34" s="6" t="e">
        <f t="shared" si="67"/>
        <v>#REF!</v>
      </c>
      <c r="BC34" s="4">
        <f t="shared" si="68"/>
        <v>1</v>
      </c>
      <c r="BD34" s="4">
        <f t="shared" si="81"/>
        <v>1</v>
      </c>
      <c r="BE34" s="4" t="str">
        <f t="shared" si="82"/>
        <v/>
      </c>
      <c r="BF34" s="4" t="str">
        <f t="shared" si="83"/>
        <v/>
      </c>
      <c r="BG34" s="4" t="str">
        <f t="shared" si="84"/>
        <v/>
      </c>
      <c r="BH34" s="4" t="e">
        <f>IF(A34="","",VLOOKUP(A34,#REF!,11,FALSE))</f>
        <v>#REF!</v>
      </c>
      <c r="BI34" s="4" t="e">
        <f t="shared" si="69"/>
        <v>#REF!</v>
      </c>
      <c r="BJ34" s="32" t="e">
        <f t="shared" si="70"/>
        <v>#REF!</v>
      </c>
      <c r="BK34" s="30" t="e">
        <f t="shared" si="71"/>
        <v>#REF!</v>
      </c>
      <c r="BL34" s="30" t="e">
        <f t="shared" si="72"/>
        <v>#REF!</v>
      </c>
      <c r="BM34" s="30" t="e">
        <f t="shared" si="73"/>
        <v>#REF!</v>
      </c>
      <c r="BN34" s="4" t="e">
        <f>VLOOKUP(A34,#REF!,11,FALSE)</f>
        <v>#REF!</v>
      </c>
    </row>
    <row r="35" spans="1:66" s="4" customFormat="1" x14ac:dyDescent="0.2">
      <c r="A35" s="4" t="s">
        <v>268</v>
      </c>
      <c r="B35" s="83"/>
      <c r="C35" s="4">
        <f>IF(A35="","",VLOOKUP(A35,'D-Value_A1_A2_Exempted'!$A$2:$S$372,19,FALSE))</f>
        <v>4.6543463381245702E-2</v>
      </c>
      <c r="D35" s="173" t="str">
        <f t="shared" si="29"/>
        <v/>
      </c>
      <c r="E35" s="6" t="str">
        <f t="shared" si="60"/>
        <v/>
      </c>
      <c r="F35" s="6" t="str">
        <f t="shared" si="61"/>
        <v/>
      </c>
      <c r="G35" s="84">
        <f>IF(A35="","",VLOOKUP(A35,'D-Value_A1_A2_Exempted'!$A$2:$S$372,17,FALSE))</f>
        <v>10</v>
      </c>
      <c r="H35" s="5">
        <f t="shared" si="30"/>
        <v>0</v>
      </c>
      <c r="I35" s="8">
        <f t="shared" si="109"/>
        <v>101000</v>
      </c>
      <c r="J35" s="8">
        <f t="shared" si="31"/>
        <v>101000</v>
      </c>
      <c r="K35" s="5">
        <f t="shared" si="32"/>
        <v>0</v>
      </c>
      <c r="L35" s="117">
        <f t="shared" si="40"/>
        <v>1.01</v>
      </c>
      <c r="M35" s="5">
        <f t="shared" si="33"/>
        <v>1.01</v>
      </c>
      <c r="N35" s="143">
        <f t="shared" si="76"/>
        <v>0</v>
      </c>
      <c r="O35" s="143">
        <f t="shared" si="77"/>
        <v>101000</v>
      </c>
      <c r="P35" s="143">
        <f t="shared" si="54"/>
        <v>101000</v>
      </c>
      <c r="Q35" s="143">
        <f t="shared" si="34"/>
        <v>0</v>
      </c>
      <c r="R35" s="143">
        <f t="shared" si="55"/>
        <v>101000</v>
      </c>
      <c r="S35" s="143">
        <f t="shared" si="35"/>
        <v>0</v>
      </c>
      <c r="T35" s="143">
        <f t="shared" si="41"/>
        <v>0</v>
      </c>
      <c r="U35" s="8">
        <f t="shared" si="62"/>
        <v>0</v>
      </c>
      <c r="V35" s="82" t="str">
        <f t="shared" si="4"/>
        <v>0</v>
      </c>
      <c r="W35" s="8">
        <f t="shared" si="85"/>
        <v>98921.450056279602</v>
      </c>
      <c r="X35" s="190">
        <f t="shared" si="86"/>
        <v>0</v>
      </c>
      <c r="Y35" s="190">
        <f t="shared" si="87"/>
        <v>0.98921450056279603</v>
      </c>
      <c r="Z35" s="8">
        <f t="shared" si="88"/>
        <v>0</v>
      </c>
      <c r="AA35" s="8">
        <f t="shared" si="89"/>
        <v>1</v>
      </c>
      <c r="AB35" s="8">
        <f t="shared" si="37"/>
        <v>0</v>
      </c>
      <c r="AC35" s="8">
        <f t="shared" si="43"/>
        <v>0</v>
      </c>
      <c r="AD35" s="8">
        <f t="shared" si="90"/>
        <v>0</v>
      </c>
      <c r="AE35" s="8">
        <f t="shared" si="91"/>
        <v>0</v>
      </c>
      <c r="AF35" s="8">
        <f t="shared" si="92"/>
        <v>0</v>
      </c>
      <c r="AG35" s="8">
        <f t="shared" si="93"/>
        <v>0</v>
      </c>
      <c r="AH35" s="8">
        <f t="shared" si="94"/>
        <v>0</v>
      </c>
      <c r="AI35" s="8">
        <f t="shared" si="95"/>
        <v>101000</v>
      </c>
      <c r="AJ35" s="167">
        <f t="shared" si="96"/>
        <v>0</v>
      </c>
      <c r="AK35" s="167">
        <f t="shared" si="97"/>
        <v>1.01</v>
      </c>
      <c r="AL35" s="109">
        <f t="shared" si="98"/>
        <v>0</v>
      </c>
      <c r="AM35" s="109">
        <f t="shared" si="99"/>
        <v>101000</v>
      </c>
      <c r="AN35" s="113">
        <f t="shared" si="100"/>
        <v>0</v>
      </c>
      <c r="AO35" s="137">
        <f t="shared" si="101"/>
        <v>1.01</v>
      </c>
      <c r="AP35" s="97">
        <f t="shared" si="102"/>
        <v>0</v>
      </c>
      <c r="AQ35" s="97">
        <f t="shared" si="103"/>
        <v>101000</v>
      </c>
      <c r="AR35" s="104">
        <f t="shared" si="104"/>
        <v>0</v>
      </c>
      <c r="AS35" s="125">
        <f t="shared" si="105"/>
        <v>1.01</v>
      </c>
      <c r="AT35" s="8"/>
      <c r="AU35" s="8"/>
      <c r="AV35" s="8"/>
      <c r="AW35" s="82" t="str">
        <f t="shared" si="64"/>
        <v/>
      </c>
      <c r="AX35" s="13" t="e">
        <f>IF(A35="","",B35*EXP(-(0.693*3/VLOOKUP(A35,#REF!,2,FALSE))))</f>
        <v>#REF!</v>
      </c>
      <c r="AY35" s="8" t="e">
        <f t="shared" si="65"/>
        <v>#REF!</v>
      </c>
      <c r="AZ35" s="12" t="str">
        <f t="shared" si="66"/>
        <v xml:space="preserve"> to nie jest odpad !!!</v>
      </c>
      <c r="BA35" s="12" t="e">
        <f>IF(A35="","",VLOOKUP(A35,#REF!,8,FALSE))</f>
        <v>#REF!</v>
      </c>
      <c r="BB35" s="6" t="e">
        <f t="shared" si="67"/>
        <v>#REF!</v>
      </c>
      <c r="BC35" s="4">
        <f t="shared" si="68"/>
        <v>1</v>
      </c>
      <c r="BD35" s="4">
        <f t="shared" si="81"/>
        <v>1</v>
      </c>
      <c r="BE35" s="4" t="str">
        <f t="shared" si="82"/>
        <v/>
      </c>
      <c r="BF35" s="4" t="str">
        <f t="shared" si="83"/>
        <v/>
      </c>
      <c r="BG35" s="4" t="str">
        <f t="shared" si="84"/>
        <v/>
      </c>
      <c r="BH35" s="4" t="e">
        <f>IF(A35="","",VLOOKUP(A35,#REF!,11,FALSE))</f>
        <v>#REF!</v>
      </c>
      <c r="BI35" s="4" t="e">
        <f t="shared" si="69"/>
        <v>#REF!</v>
      </c>
      <c r="BJ35" s="32" t="e">
        <f t="shared" si="70"/>
        <v>#REF!</v>
      </c>
      <c r="BK35" s="30" t="e">
        <f t="shared" si="71"/>
        <v>#REF!</v>
      </c>
      <c r="BL35" s="30" t="e">
        <f t="shared" si="72"/>
        <v>#REF!</v>
      </c>
      <c r="BM35" s="30" t="e">
        <f t="shared" si="73"/>
        <v>#REF!</v>
      </c>
      <c r="BN35" s="4" t="e">
        <f>VLOOKUP(A35,#REF!,11,FALSE)</f>
        <v>#REF!</v>
      </c>
    </row>
    <row r="36" spans="1:66" s="4" customFormat="1" x14ac:dyDescent="0.2">
      <c r="A36" s="4" t="s">
        <v>471</v>
      </c>
      <c r="B36" s="83"/>
      <c r="C36" s="4">
        <f>IF(A36="","",VLOOKUP(A36,'D-Value_A1_A2_Exempted'!$A$2:$S$372,19,FALSE))</f>
        <v>0.43945000000000001</v>
      </c>
      <c r="D36" s="173" t="str">
        <f t="shared" si="29"/>
        <v/>
      </c>
      <c r="E36" s="6" t="str">
        <f t="shared" si="60"/>
        <v/>
      </c>
      <c r="F36" s="6" t="str">
        <f t="shared" si="61"/>
        <v/>
      </c>
      <c r="G36" s="84">
        <f>IF(A36="","",VLOOKUP(A36,'D-Value_A1_A2_Exempted'!$A$2:$S$372,17,FALSE))</f>
        <v>10</v>
      </c>
      <c r="H36" s="5">
        <f t="shared" si="30"/>
        <v>0</v>
      </c>
      <c r="I36" s="8">
        <f t="shared" si="109"/>
        <v>101000</v>
      </c>
      <c r="J36" s="8">
        <f t="shared" si="31"/>
        <v>101000</v>
      </c>
      <c r="K36" s="5">
        <f t="shared" si="32"/>
        <v>0</v>
      </c>
      <c r="L36" s="117">
        <f t="shared" si="40"/>
        <v>1.01</v>
      </c>
      <c r="M36" s="5">
        <f t="shared" si="33"/>
        <v>1.01</v>
      </c>
      <c r="N36" s="143">
        <f t="shared" si="76"/>
        <v>0</v>
      </c>
      <c r="O36" s="143">
        <f t="shared" si="77"/>
        <v>101000</v>
      </c>
      <c r="P36" s="143">
        <f t="shared" si="54"/>
        <v>101000</v>
      </c>
      <c r="Q36" s="143">
        <f t="shared" si="34"/>
        <v>0</v>
      </c>
      <c r="R36" s="143">
        <f t="shared" si="55"/>
        <v>101000</v>
      </c>
      <c r="S36" s="143">
        <f t="shared" si="35"/>
        <v>0</v>
      </c>
      <c r="T36" s="143">
        <f t="shared" si="41"/>
        <v>0</v>
      </c>
      <c r="U36" s="8">
        <f t="shared" si="62"/>
        <v>0</v>
      </c>
      <c r="V36" s="82" t="str">
        <f t="shared" si="4"/>
        <v>0</v>
      </c>
      <c r="W36" s="8">
        <f t="shared" si="36"/>
        <v>98921.450056279602</v>
      </c>
      <c r="X36" s="190">
        <f t="shared" si="5"/>
        <v>0</v>
      </c>
      <c r="Y36" s="190">
        <f t="shared" si="56"/>
        <v>0.98921450056279603</v>
      </c>
      <c r="Z36" s="8">
        <f t="shared" si="6"/>
        <v>0</v>
      </c>
      <c r="AA36" s="8">
        <f t="shared" si="63"/>
        <v>1</v>
      </c>
      <c r="AB36" s="8">
        <f t="shared" si="37"/>
        <v>0</v>
      </c>
      <c r="AC36" s="8">
        <f t="shared" si="43"/>
        <v>0</v>
      </c>
      <c r="AD36" s="8">
        <f t="shared" si="7"/>
        <v>0</v>
      </c>
      <c r="AE36" s="8">
        <f t="shared" si="75"/>
        <v>0</v>
      </c>
      <c r="AF36" s="8">
        <f t="shared" si="8"/>
        <v>0</v>
      </c>
      <c r="AG36" s="8">
        <f t="shared" si="78"/>
        <v>0</v>
      </c>
      <c r="AH36" s="8">
        <f t="shared" si="57"/>
        <v>0</v>
      </c>
      <c r="AI36" s="8">
        <f t="shared" si="79"/>
        <v>101000</v>
      </c>
      <c r="AJ36" s="167">
        <f t="shared" si="10"/>
        <v>0</v>
      </c>
      <c r="AK36" s="167">
        <f t="shared" si="58"/>
        <v>1.01</v>
      </c>
      <c r="AL36" s="109">
        <f t="shared" si="11"/>
        <v>0</v>
      </c>
      <c r="AM36" s="109">
        <f t="shared" si="80"/>
        <v>101000</v>
      </c>
      <c r="AN36" s="113">
        <f t="shared" si="12"/>
        <v>0</v>
      </c>
      <c r="AO36" s="137">
        <f t="shared" si="48"/>
        <v>1.01</v>
      </c>
      <c r="AP36" s="97">
        <f t="shared" si="13"/>
        <v>0</v>
      </c>
      <c r="AQ36" s="97">
        <f t="shared" si="49"/>
        <v>101000</v>
      </c>
      <c r="AR36" s="104">
        <f t="shared" si="14"/>
        <v>0</v>
      </c>
      <c r="AS36" s="125">
        <f t="shared" si="50"/>
        <v>1.01</v>
      </c>
      <c r="AT36" s="8"/>
      <c r="AU36" s="8"/>
      <c r="AV36" s="8"/>
      <c r="AW36" s="82"/>
      <c r="AX36" s="13"/>
      <c r="AY36" s="8"/>
      <c r="AZ36" s="12"/>
      <c r="BA36" s="12"/>
      <c r="BB36" s="6"/>
      <c r="BJ36" s="32"/>
      <c r="BK36" s="30"/>
      <c r="BL36" s="30"/>
      <c r="BM36" s="30"/>
    </row>
    <row r="37" spans="1:66" s="4" customFormat="1" x14ac:dyDescent="0.2">
      <c r="A37" s="4" t="s">
        <v>83</v>
      </c>
      <c r="B37" s="83"/>
      <c r="C37" s="4">
        <f>IF(A37="","",VLOOKUP(A37,'D-Value_A1_A2_Exempted'!$A$2:$S$372,19,FALSE))</f>
        <v>6.8674423910559999E-4</v>
      </c>
      <c r="D37" s="173" t="str">
        <f t="shared" si="29"/>
        <v/>
      </c>
      <c r="E37" s="6" t="str">
        <f t="shared" si="60"/>
        <v/>
      </c>
      <c r="F37" s="6" t="str">
        <f t="shared" si="61"/>
        <v/>
      </c>
      <c r="G37" s="84">
        <f>IF(A37="","",VLOOKUP(A37,'D-Value_A1_A2_Exempted'!$A$2:$S$372,17,FALSE))</f>
        <v>100</v>
      </c>
      <c r="H37" s="5">
        <f t="shared" si="30"/>
        <v>0</v>
      </c>
      <c r="I37" s="8">
        <f t="shared" si="74"/>
        <v>101000</v>
      </c>
      <c r="J37" s="8">
        <f t="shared" si="31"/>
        <v>101000</v>
      </c>
      <c r="K37" s="5">
        <f t="shared" si="32"/>
        <v>0</v>
      </c>
      <c r="L37" s="117">
        <f t="shared" si="40"/>
        <v>1.01</v>
      </c>
      <c r="M37" s="5">
        <f t="shared" si="33"/>
        <v>1.01</v>
      </c>
      <c r="N37" s="143">
        <f t="shared" si="76"/>
        <v>0</v>
      </c>
      <c r="O37" s="143">
        <f t="shared" si="77"/>
        <v>101000</v>
      </c>
      <c r="P37" s="143">
        <f t="shared" si="54"/>
        <v>101000</v>
      </c>
      <c r="Q37" s="143">
        <f t="shared" si="34"/>
        <v>0</v>
      </c>
      <c r="R37" s="143">
        <f t="shared" si="55"/>
        <v>101000</v>
      </c>
      <c r="S37" s="143">
        <f t="shared" si="35"/>
        <v>0</v>
      </c>
      <c r="T37" s="143">
        <f t="shared" si="41"/>
        <v>0</v>
      </c>
      <c r="U37" s="8">
        <f t="shared" si="62"/>
        <v>0</v>
      </c>
      <c r="V37" s="82" t="str">
        <f t="shared" si="4"/>
        <v>0</v>
      </c>
      <c r="W37" s="8">
        <f t="shared" si="36"/>
        <v>98921.450056279602</v>
      </c>
      <c r="X37" s="190">
        <f t="shared" si="5"/>
        <v>0</v>
      </c>
      <c r="Y37" s="190">
        <f t="shared" si="56"/>
        <v>0.98921450056279603</v>
      </c>
      <c r="Z37" s="8">
        <f t="shared" si="6"/>
        <v>0</v>
      </c>
      <c r="AA37" s="8">
        <f t="shared" si="63"/>
        <v>1</v>
      </c>
      <c r="AB37" s="8">
        <f t="shared" si="37"/>
        <v>0</v>
      </c>
      <c r="AC37" s="8">
        <f t="shared" si="43"/>
        <v>0</v>
      </c>
      <c r="AD37" s="8">
        <f t="shared" si="7"/>
        <v>0</v>
      </c>
      <c r="AE37" s="8">
        <f t="shared" si="75"/>
        <v>0</v>
      </c>
      <c r="AF37" s="8">
        <f t="shared" si="8"/>
        <v>0</v>
      </c>
      <c r="AG37" s="8">
        <f t="shared" si="78"/>
        <v>0</v>
      </c>
      <c r="AH37" s="8">
        <f t="shared" si="57"/>
        <v>0</v>
      </c>
      <c r="AI37" s="8">
        <f t="shared" si="79"/>
        <v>101000</v>
      </c>
      <c r="AJ37" s="167">
        <f t="shared" si="10"/>
        <v>0</v>
      </c>
      <c r="AK37" s="167">
        <f t="shared" si="58"/>
        <v>1.01</v>
      </c>
      <c r="AL37" s="109">
        <f t="shared" si="11"/>
        <v>0</v>
      </c>
      <c r="AM37" s="109">
        <f t="shared" si="80"/>
        <v>101000</v>
      </c>
      <c r="AN37" s="113">
        <f t="shared" si="12"/>
        <v>0</v>
      </c>
      <c r="AO37" s="137">
        <f t="shared" si="48"/>
        <v>1.01</v>
      </c>
      <c r="AP37" s="97">
        <f t="shared" si="13"/>
        <v>0</v>
      </c>
      <c r="AQ37" s="97">
        <f t="shared" si="49"/>
        <v>101000</v>
      </c>
      <c r="AR37" s="104">
        <f t="shared" si="14"/>
        <v>0</v>
      </c>
      <c r="AS37" s="125">
        <f t="shared" si="50"/>
        <v>1.01</v>
      </c>
      <c r="AT37" s="8"/>
      <c r="AU37" s="8"/>
      <c r="AV37" s="8"/>
      <c r="AW37" s="82"/>
      <c r="AX37" s="13"/>
      <c r="AY37" s="8"/>
      <c r="AZ37" s="12"/>
      <c r="BA37" s="12"/>
      <c r="BB37" s="6"/>
      <c r="BJ37" s="32"/>
      <c r="BK37" s="30"/>
      <c r="BL37" s="30"/>
      <c r="BM37" s="30"/>
    </row>
    <row r="38" spans="1:66" s="4" customFormat="1" x14ac:dyDescent="0.2">
      <c r="A38" s="4" t="s">
        <v>267</v>
      </c>
      <c r="B38" s="83"/>
      <c r="C38" s="4">
        <f>IF(A38="","",VLOOKUP(A38,'D-Value_A1_A2_Exempted'!$A$2:$S$372,19,FALSE))</f>
        <v>0.421629021218343</v>
      </c>
      <c r="D38" s="173" t="str">
        <f t="shared" si="29"/>
        <v/>
      </c>
      <c r="E38" s="6" t="str">
        <f t="shared" si="60"/>
        <v/>
      </c>
      <c r="F38" s="6" t="str">
        <f t="shared" si="61"/>
        <v/>
      </c>
      <c r="G38" s="84">
        <f>IF(A38="","",VLOOKUP(A38,'D-Value_A1_A2_Exempted'!$A$2:$S$372,17,FALSE))</f>
        <v>100</v>
      </c>
      <c r="H38" s="5">
        <f t="shared" si="30"/>
        <v>0</v>
      </c>
      <c r="I38" s="8">
        <f t="shared" si="74"/>
        <v>101000</v>
      </c>
      <c r="J38" s="8">
        <f t="shared" si="31"/>
        <v>101000</v>
      </c>
      <c r="K38" s="5">
        <f t="shared" si="32"/>
        <v>0</v>
      </c>
      <c r="L38" s="117">
        <f t="shared" si="40"/>
        <v>1.01</v>
      </c>
      <c r="M38" s="5">
        <f t="shared" si="33"/>
        <v>1.01</v>
      </c>
      <c r="N38" s="143">
        <f t="shared" si="76"/>
        <v>0</v>
      </c>
      <c r="O38" s="143">
        <f>N38+O37</f>
        <v>101000</v>
      </c>
      <c r="P38" s="143">
        <f t="shared" si="54"/>
        <v>101000</v>
      </c>
      <c r="Q38" s="143">
        <f t="shared" si="34"/>
        <v>0</v>
      </c>
      <c r="R38" s="143">
        <f t="shared" si="55"/>
        <v>101000</v>
      </c>
      <c r="S38" s="143">
        <f t="shared" si="35"/>
        <v>0</v>
      </c>
      <c r="T38" s="143">
        <f t="shared" si="41"/>
        <v>0</v>
      </c>
      <c r="U38" s="8">
        <f t="shared" si="62"/>
        <v>0</v>
      </c>
      <c r="V38" s="82" t="str">
        <f t="shared" si="4"/>
        <v>0</v>
      </c>
      <c r="W38" s="8">
        <f t="shared" si="36"/>
        <v>98921.450056279602</v>
      </c>
      <c r="X38" s="190">
        <f t="shared" si="5"/>
        <v>0</v>
      </c>
      <c r="Y38" s="190">
        <f t="shared" si="56"/>
        <v>0.98921450056279603</v>
      </c>
      <c r="Z38" s="8">
        <f t="shared" ref="Z38:Z40" si="115">IF(B38="",0,IF(C38&gt;100/365,1,0))</f>
        <v>0</v>
      </c>
      <c r="AA38" s="8">
        <f t="shared" ref="AA38:AA40" si="116">AA37+Z38</f>
        <v>1</v>
      </c>
      <c r="AB38" s="8">
        <f t="shared" si="37"/>
        <v>0</v>
      </c>
      <c r="AC38" s="8">
        <f t="shared" si="43"/>
        <v>0</v>
      </c>
      <c r="AD38" s="8">
        <f t="shared" ref="AD38:AD40" si="117">IF(E38="L",H38,0)</f>
        <v>0</v>
      </c>
      <c r="AE38" s="8">
        <f t="shared" ref="AE38:AE40" si="118">AD38+AE37</f>
        <v>0</v>
      </c>
      <c r="AF38" s="8">
        <f t="shared" ref="AF38:AF40" si="119">AD38/G38</f>
        <v>0</v>
      </c>
      <c r="AG38" s="8">
        <f t="shared" ref="AG38:AG40" si="120">AF38+AG37</f>
        <v>0</v>
      </c>
      <c r="AH38" s="8">
        <f t="shared" si="57"/>
        <v>0</v>
      </c>
      <c r="AI38" s="8">
        <f t="shared" ref="AI38:AI40" si="121">AH38+AI37</f>
        <v>101000</v>
      </c>
      <c r="AJ38" s="167">
        <f t="shared" ref="AJ38:AJ40" si="122">AH38/G38</f>
        <v>0</v>
      </c>
      <c r="AK38" s="167">
        <f t="shared" si="58"/>
        <v>1.01</v>
      </c>
      <c r="AL38" s="109">
        <f t="shared" ref="AL38:AL40" si="123">IF(AND(C38&gt;30.2,K38&gt;=1),H38,0)</f>
        <v>0</v>
      </c>
      <c r="AM38" s="109">
        <f t="shared" ref="AM38:AM40" si="124">AL38+AM37</f>
        <v>101000</v>
      </c>
      <c r="AN38" s="113">
        <f t="shared" ref="AN38:AN40" si="125">IF(AL38=0,0,AL38/G38)</f>
        <v>0</v>
      </c>
      <c r="AO38" s="137">
        <f t="shared" si="48"/>
        <v>1.01</v>
      </c>
      <c r="AP38" s="97">
        <f t="shared" ref="AP38:AP40" si="126">IF(C38&gt;30.2,H38,0)</f>
        <v>0</v>
      </c>
      <c r="AQ38" s="97">
        <f t="shared" si="49"/>
        <v>101000</v>
      </c>
      <c r="AR38" s="104">
        <f t="shared" si="14"/>
        <v>0</v>
      </c>
      <c r="AS38" s="125">
        <f t="shared" si="50"/>
        <v>1.01</v>
      </c>
      <c r="AT38" s="8"/>
      <c r="AU38" s="8"/>
      <c r="AV38" s="8"/>
      <c r="AW38" s="82" t="str">
        <f>IF(A38="","",IF(E38="L",H38,""))</f>
        <v/>
      </c>
      <c r="AX38" s="13" t="e">
        <f>IF(A38="","",B38*EXP(-(0.693*3/VLOOKUP(A38,#REF!,2,FALSE))))</f>
        <v>#REF!</v>
      </c>
      <c r="AY38" s="8" t="e">
        <f>IF(A38="","",AX38/$B$1*1000)</f>
        <v>#REF!</v>
      </c>
      <c r="AZ38" s="12" t="str">
        <f>IF(A38="","",IF(H38&lt;=G38," to nie jest odpad !!!",IF(AND(C38&gt;30.2,H38&gt;400)," długożyciowy",IF(AY38&gt;G38," krótkożyciowy"," przejściowy"))))</f>
        <v xml:space="preserve"> to nie jest odpad !!!</v>
      </c>
      <c r="BA38" s="12" t="e">
        <f>IF(A38="","",VLOOKUP(A38,#REF!,8,FALSE))</f>
        <v>#REF!</v>
      </c>
      <c r="BB38" s="6" t="e">
        <f>IF(H38&lt;BA38,"cleared","")</f>
        <v>#REF!</v>
      </c>
      <c r="BC38" s="4">
        <f>IF(A38&lt;&gt;"",1,"")</f>
        <v>1</v>
      </c>
      <c r="BD38" s="4">
        <f t="shared" si="81"/>
        <v>1</v>
      </c>
      <c r="BE38" s="4" t="str">
        <f t="shared" si="82"/>
        <v/>
      </c>
      <c r="BF38" s="4" t="str">
        <f t="shared" si="83"/>
        <v/>
      </c>
      <c r="BG38" s="4" t="str">
        <f t="shared" si="84"/>
        <v/>
      </c>
      <c r="BH38" s="4" t="e">
        <f>IF(A38="","",VLOOKUP(A38,#REF!,11,FALSE))</f>
        <v>#REF!</v>
      </c>
      <c r="BI38" s="4" t="e">
        <f>IF(A38="","",B38*1000000*BH38)</f>
        <v>#REF!</v>
      </c>
      <c r="BJ38" s="32" t="e">
        <f>IF(A38="","",BI38*1000000)</f>
        <v>#REF!</v>
      </c>
      <c r="BK38" s="30" t="e">
        <f>IF(A38="","",BI38*16*1000)</f>
        <v>#REF!</v>
      </c>
      <c r="BL38" s="30" t="e">
        <f>IF(A38="","",BI38*10000*10)</f>
        <v>#REF!</v>
      </c>
      <c r="BM38" s="30" t="e">
        <f>IF(A38="","",BI38*10000*1000)</f>
        <v>#REF!</v>
      </c>
      <c r="BN38" s="4" t="e">
        <f>VLOOKUP(A38,#REF!,11,FALSE)</f>
        <v>#REF!</v>
      </c>
    </row>
    <row r="39" spans="1:66" s="4" customFormat="1" x14ac:dyDescent="0.2">
      <c r="A39" s="4" t="s">
        <v>38</v>
      </c>
      <c r="B39" s="83"/>
      <c r="C39" s="4">
        <f>IF(A39="","",VLOOKUP(A39,'D-Value_A1_A2_Exempted'!$A$2:$S$372,19,FALSE))</f>
        <v>0.193839835728952</v>
      </c>
      <c r="D39" s="173" t="str">
        <f t="shared" si="29"/>
        <v/>
      </c>
      <c r="E39" s="6" t="str">
        <f t="shared" ref="E39" si="127">IF(OR(A39="Am-241",A39="Am-241-Be",A39="Am-242",A39="Am-242",A39="Pu-238",A39="Pu-239",A39="Ra-226",A39="Th-232",A39="Th-230",A39="U-233",A39="U-234",A39="U-235",A39="U-236",A39="U-238"),"L","")</f>
        <v/>
      </c>
      <c r="F39" s="6" t="str">
        <f t="shared" ref="F39" si="128">IF(OR(A39="C-14",A39="Cl-36",A39="Ni-63"),"LB","")</f>
        <v/>
      </c>
      <c r="G39" s="84">
        <f>IF(A39="","",VLOOKUP(A39,'D-Value_A1_A2_Exempted'!$A$2:$S$372,17,FALSE))</f>
        <v>10</v>
      </c>
      <c r="H39" s="5">
        <f t="shared" si="30"/>
        <v>0</v>
      </c>
      <c r="I39" s="8">
        <f t="shared" si="74"/>
        <v>101000</v>
      </c>
      <c r="J39" s="8">
        <f t="shared" si="31"/>
        <v>101000</v>
      </c>
      <c r="K39" s="5">
        <f t="shared" si="32"/>
        <v>0</v>
      </c>
      <c r="L39" s="117">
        <f t="shared" si="40"/>
        <v>1.01</v>
      </c>
      <c r="M39" s="5">
        <f t="shared" si="33"/>
        <v>1.01</v>
      </c>
      <c r="N39" s="143">
        <f t="shared" ref="N39" si="129">IF(A39="","",IF(OR(A39="H-3",A39="C-14"),B39/$B$1*100,B39/$B$1*1000))</f>
        <v>0</v>
      </c>
      <c r="O39" s="143">
        <f t="shared" ref="O39:O40" si="130">N39+O38</f>
        <v>101000</v>
      </c>
      <c r="P39" s="143">
        <f t="shared" si="54"/>
        <v>101000</v>
      </c>
      <c r="Q39" s="143">
        <f t="shared" si="34"/>
        <v>0</v>
      </c>
      <c r="R39" s="143">
        <f t="shared" si="55"/>
        <v>101000</v>
      </c>
      <c r="S39" s="143">
        <f t="shared" si="35"/>
        <v>0</v>
      </c>
      <c r="T39" s="143">
        <f t="shared" si="41"/>
        <v>0</v>
      </c>
      <c r="U39" s="8">
        <f t="shared" si="62"/>
        <v>0</v>
      </c>
      <c r="V39" s="82" t="str">
        <f t="shared" si="4"/>
        <v>0</v>
      </c>
      <c r="W39" s="8">
        <f t="shared" si="36"/>
        <v>98921.450056279602</v>
      </c>
      <c r="X39" s="190">
        <f t="shared" si="5"/>
        <v>0</v>
      </c>
      <c r="Y39" s="190">
        <f t="shared" si="56"/>
        <v>0.98921450056279603</v>
      </c>
      <c r="Z39" s="8">
        <f t="shared" si="115"/>
        <v>0</v>
      </c>
      <c r="AA39" s="8">
        <f t="shared" si="116"/>
        <v>1</v>
      </c>
      <c r="AB39" s="8">
        <f t="shared" si="37"/>
        <v>0</v>
      </c>
      <c r="AC39" s="8">
        <f t="shared" si="43"/>
        <v>0</v>
      </c>
      <c r="AD39" s="8">
        <f t="shared" si="117"/>
        <v>0</v>
      </c>
      <c r="AE39" s="8">
        <f t="shared" si="118"/>
        <v>0</v>
      </c>
      <c r="AF39" s="8">
        <f t="shared" si="119"/>
        <v>0</v>
      </c>
      <c r="AG39" s="8">
        <f t="shared" si="120"/>
        <v>0</v>
      </c>
      <c r="AH39" s="8">
        <f t="shared" si="57"/>
        <v>0</v>
      </c>
      <c r="AI39" s="8">
        <f t="shared" si="121"/>
        <v>101000</v>
      </c>
      <c r="AJ39" s="167">
        <f t="shared" si="122"/>
        <v>0</v>
      </c>
      <c r="AK39" s="167">
        <f t="shared" si="58"/>
        <v>1.01</v>
      </c>
      <c r="AL39" s="109">
        <f t="shared" si="123"/>
        <v>0</v>
      </c>
      <c r="AM39" s="109">
        <f t="shared" si="124"/>
        <v>101000</v>
      </c>
      <c r="AN39" s="113">
        <f t="shared" si="125"/>
        <v>0</v>
      </c>
      <c r="AO39" s="137">
        <f t="shared" si="48"/>
        <v>1.01</v>
      </c>
      <c r="AP39" s="97">
        <f t="shared" si="126"/>
        <v>0</v>
      </c>
      <c r="AQ39" s="97">
        <f t="shared" si="49"/>
        <v>101000</v>
      </c>
      <c r="AR39" s="104">
        <f t="shared" si="14"/>
        <v>0</v>
      </c>
      <c r="AS39" s="125">
        <f t="shared" si="50"/>
        <v>1.01</v>
      </c>
      <c r="AT39" s="8"/>
      <c r="AU39" s="8"/>
      <c r="AV39" s="8"/>
      <c r="AW39" s="82"/>
      <c r="AX39" s="13"/>
      <c r="AY39" s="8"/>
      <c r="AZ39" s="12"/>
      <c r="BA39" s="12"/>
      <c r="BB39" s="6"/>
      <c r="BJ39" s="32"/>
      <c r="BK39" s="30"/>
      <c r="BL39" s="30"/>
      <c r="BM39" s="30"/>
    </row>
    <row r="40" spans="1:66" s="4" customFormat="1" x14ac:dyDescent="0.2">
      <c r="A40" s="4" t="s">
        <v>245</v>
      </c>
      <c r="B40" s="83"/>
      <c r="C40" s="4">
        <f>IF(A40="","",VLOOKUP(A40,'D-Value_A1_A2_Exempted'!$A$2:$S$372,19,FALSE))</f>
        <v>1600</v>
      </c>
      <c r="D40" s="173" t="str">
        <f t="shared" si="29"/>
        <v>Alpha</v>
      </c>
      <c r="E40" s="6" t="str">
        <f t="shared" si="60"/>
        <v>L</v>
      </c>
      <c r="F40" s="6" t="str">
        <f t="shared" si="61"/>
        <v/>
      </c>
      <c r="G40" s="84">
        <f>IF(A40="","",VLOOKUP(A40,'D-Value_A1_A2_Exempted'!$A$2:$S$372,17,FALSE))</f>
        <v>10</v>
      </c>
      <c r="H40" s="5">
        <f t="shared" si="30"/>
        <v>0</v>
      </c>
      <c r="I40" s="8">
        <f t="shared" si="74"/>
        <v>101000</v>
      </c>
      <c r="J40" s="8">
        <f t="shared" si="31"/>
        <v>101000</v>
      </c>
      <c r="K40" s="5">
        <f t="shared" si="32"/>
        <v>0</v>
      </c>
      <c r="L40" s="117">
        <f t="shared" si="40"/>
        <v>1.01</v>
      </c>
      <c r="M40" s="5">
        <f t="shared" si="33"/>
        <v>1.01</v>
      </c>
      <c r="N40" s="143">
        <f t="shared" si="76"/>
        <v>0</v>
      </c>
      <c r="O40" s="143">
        <f t="shared" si="130"/>
        <v>101000</v>
      </c>
      <c r="P40" s="143">
        <f t="shared" si="54"/>
        <v>101000</v>
      </c>
      <c r="Q40" s="143">
        <f t="shared" si="34"/>
        <v>0</v>
      </c>
      <c r="R40" s="143">
        <f t="shared" si="55"/>
        <v>101000</v>
      </c>
      <c r="S40" s="143">
        <f t="shared" si="35"/>
        <v>0</v>
      </c>
      <c r="T40" s="143">
        <f t="shared" si="41"/>
        <v>0</v>
      </c>
      <c r="U40" s="8">
        <f t="shared" si="62"/>
        <v>0</v>
      </c>
      <c r="V40" s="82" t="str">
        <f t="shared" si="4"/>
        <v>0</v>
      </c>
      <c r="W40" s="8">
        <f t="shared" si="36"/>
        <v>98921.450056279602</v>
      </c>
      <c r="X40" s="190">
        <f t="shared" si="5"/>
        <v>0</v>
      </c>
      <c r="Y40" s="190">
        <f t="shared" si="56"/>
        <v>0.98921450056279603</v>
      </c>
      <c r="Z40" s="8">
        <f t="shared" si="115"/>
        <v>0</v>
      </c>
      <c r="AA40" s="8">
        <f t="shared" si="116"/>
        <v>1</v>
      </c>
      <c r="AB40" s="8">
        <f t="shared" si="37"/>
        <v>0</v>
      </c>
      <c r="AC40" s="8">
        <f t="shared" si="43"/>
        <v>0</v>
      </c>
      <c r="AD40" s="8">
        <f t="shared" si="117"/>
        <v>0</v>
      </c>
      <c r="AE40" s="8">
        <f t="shared" si="118"/>
        <v>0</v>
      </c>
      <c r="AF40" s="8">
        <f t="shared" si="119"/>
        <v>0</v>
      </c>
      <c r="AG40" s="8">
        <f t="shared" si="120"/>
        <v>0</v>
      </c>
      <c r="AH40" s="8">
        <f t="shared" si="57"/>
        <v>0</v>
      </c>
      <c r="AI40" s="8">
        <f t="shared" si="121"/>
        <v>101000</v>
      </c>
      <c r="AJ40" s="167">
        <f t="shared" si="122"/>
        <v>0</v>
      </c>
      <c r="AK40" s="167">
        <f t="shared" si="58"/>
        <v>1.01</v>
      </c>
      <c r="AL40" s="109">
        <f t="shared" si="123"/>
        <v>0</v>
      </c>
      <c r="AM40" s="109">
        <f t="shared" si="124"/>
        <v>101000</v>
      </c>
      <c r="AN40" s="113">
        <f t="shared" si="125"/>
        <v>0</v>
      </c>
      <c r="AO40" s="137">
        <f t="shared" si="48"/>
        <v>1.01</v>
      </c>
      <c r="AP40" s="97">
        <f t="shared" si="126"/>
        <v>0</v>
      </c>
      <c r="AQ40" s="97">
        <f t="shared" si="49"/>
        <v>101000</v>
      </c>
      <c r="AR40" s="104">
        <f t="shared" si="14"/>
        <v>0</v>
      </c>
      <c r="AS40" s="125">
        <f t="shared" si="50"/>
        <v>1.01</v>
      </c>
      <c r="AT40" s="8"/>
      <c r="AU40" s="8"/>
      <c r="AV40" s="8"/>
      <c r="AW40" s="82">
        <f>IF(A40="","",IF(E40="L",H40,""))</f>
        <v>0</v>
      </c>
      <c r="AX40" s="13" t="e">
        <f>IF(A40="","",B40*EXP(-(0.693*3/VLOOKUP(A40,#REF!,2,FALSE))))</f>
        <v>#REF!</v>
      </c>
      <c r="AY40" s="8" t="e">
        <f>IF(A40="","",AX40/$B$1*1000)</f>
        <v>#REF!</v>
      </c>
      <c r="AZ40" s="12" t="str">
        <f>IF(A40="","",IF(H40&lt;=G40," to nie jest odpad !!!",IF(AND(C40&gt;30.2,H40&gt;400)," długożyciowy",IF(AY40&gt;G40," krótkożyciowy"," przejściowy"))))</f>
        <v xml:space="preserve"> to nie jest odpad !!!</v>
      </c>
      <c r="BA40" s="12" t="e">
        <f>IF(A40="","",VLOOKUP(A40,#REF!,8,FALSE))</f>
        <v>#REF!</v>
      </c>
      <c r="BB40" s="6" t="e">
        <f>IF(H40&lt;BA40,"cleared","")</f>
        <v>#REF!</v>
      </c>
      <c r="BC40" s="4">
        <f>IF(A40&lt;&gt;"",1,"")</f>
        <v>1</v>
      </c>
      <c r="BD40" s="4">
        <f t="shared" si="20"/>
        <v>1</v>
      </c>
      <c r="BE40" s="4" t="str">
        <f t="shared" si="21"/>
        <v/>
      </c>
      <c r="BF40" s="4" t="str">
        <f t="shared" si="22"/>
        <v/>
      </c>
      <c r="BG40" s="4" t="str">
        <f t="shared" si="23"/>
        <v/>
      </c>
      <c r="BH40" s="4" t="e">
        <f>IF(A40="","",VLOOKUP(A40,#REF!,11,FALSE))</f>
        <v>#REF!</v>
      </c>
      <c r="BI40" s="4" t="e">
        <f>IF(A40="","",B40*1000000*BH40)</f>
        <v>#REF!</v>
      </c>
      <c r="BJ40" s="32" t="e">
        <f>IF(A40="","",BI40*1000000)</f>
        <v>#REF!</v>
      </c>
      <c r="BK40" s="30" t="e">
        <f>IF(A40="","",BI40*16*1000)</f>
        <v>#REF!</v>
      </c>
      <c r="BL40" s="30" t="e">
        <f>IF(A40="","",BI40*10000*10)</f>
        <v>#REF!</v>
      </c>
      <c r="BM40" s="30" t="e">
        <f>IF(A40="","",BI40*10000*1000)</f>
        <v>#REF!</v>
      </c>
      <c r="BN40" s="4" t="e">
        <f>VLOOKUP(A40,#REF!,11,FALSE)</f>
        <v>#REF!</v>
      </c>
    </row>
    <row r="41" spans="1:66" s="85" customFormat="1" ht="15.75" x14ac:dyDescent="0.2">
      <c r="A41" s="37" t="s">
        <v>276</v>
      </c>
      <c r="B41" s="88">
        <f>SUM(B3:B40)</f>
        <v>1010</v>
      </c>
      <c r="D41" s="174"/>
      <c r="E41" s="86"/>
      <c r="F41" s="86"/>
      <c r="G41" s="87"/>
      <c r="H41" s="89">
        <f>SUM(H3:H40)</f>
        <v>101000</v>
      </c>
      <c r="I41" s="87"/>
      <c r="J41" s="87"/>
      <c r="K41" s="89"/>
      <c r="L41" s="119"/>
      <c r="M41" s="89"/>
      <c r="N41" s="145"/>
      <c r="O41" s="145"/>
      <c r="P41" s="145"/>
      <c r="Q41" s="145"/>
      <c r="R41" s="145"/>
      <c r="S41" s="145"/>
      <c r="T41" s="145"/>
      <c r="U41" s="87"/>
      <c r="V41" s="88"/>
      <c r="W41" s="87"/>
      <c r="X41" s="192"/>
      <c r="Y41" s="192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169"/>
      <c r="AK41" s="169"/>
      <c r="AL41" s="110"/>
      <c r="AM41" s="110"/>
      <c r="AN41" s="114"/>
      <c r="AO41" s="139"/>
      <c r="AP41" s="100"/>
      <c r="AQ41" s="100"/>
      <c r="AR41" s="105"/>
      <c r="AS41" s="127"/>
      <c r="AT41" s="87"/>
      <c r="AU41" s="87"/>
      <c r="AV41" s="87"/>
      <c r="AW41" s="87">
        <f>SUM(AW3:AW40)</f>
        <v>0</v>
      </c>
      <c r="AX41" s="90" t="e">
        <f>SUM(AX3:AX40)</f>
        <v>#REF!</v>
      </c>
      <c r="AY41" s="87" t="e">
        <f>SUM(AY3:AY40)</f>
        <v>#REF!</v>
      </c>
      <c r="AZ41" s="91"/>
      <c r="BA41" s="91"/>
      <c r="BB41" s="92"/>
      <c r="BC41" s="85">
        <f>SUM(BC3:BC40)</f>
        <v>30</v>
      </c>
      <c r="BD41" s="85">
        <f>SUM(BD3:BD40)</f>
        <v>29</v>
      </c>
      <c r="BE41" s="85">
        <f>SUM(BE3:BE40)</f>
        <v>0</v>
      </c>
      <c r="BF41" s="85">
        <f>SUM(BF3:BF40)</f>
        <v>0</v>
      </c>
      <c r="BG41" s="85">
        <f>SUM(BG3:BG40)</f>
        <v>1</v>
      </c>
      <c r="BI41" s="85" t="e">
        <f>SUM(BI3:BI40)</f>
        <v>#REF!</v>
      </c>
      <c r="BJ41" s="93" t="e">
        <f>SUM(BJ3:BJ40)</f>
        <v>#REF!</v>
      </c>
      <c r="BK41" s="94" t="e">
        <f>SUM(BK3:BK40)</f>
        <v>#REF!</v>
      </c>
      <c r="BL41" s="94" t="e">
        <f>SUM(BL3:BL40)</f>
        <v>#REF!</v>
      </c>
      <c r="BM41" s="94" t="e">
        <f>SUM(BM3:BM40)</f>
        <v>#REF!</v>
      </c>
    </row>
    <row r="42" spans="1:66" s="4" customFormat="1" x14ac:dyDescent="0.2">
      <c r="B42" s="82"/>
      <c r="D42" s="173"/>
      <c r="E42" s="6"/>
      <c r="F42" s="6"/>
      <c r="G42" s="8"/>
      <c r="H42" s="5"/>
      <c r="I42" s="8"/>
      <c r="J42" s="8"/>
      <c r="K42" s="5"/>
      <c r="L42" s="117"/>
      <c r="M42" s="5"/>
      <c r="N42" s="144"/>
      <c r="O42" s="144"/>
      <c r="P42" s="144"/>
      <c r="Q42" s="144"/>
      <c r="R42" s="144"/>
      <c r="S42" s="144"/>
      <c r="T42" s="144"/>
      <c r="U42" s="8"/>
      <c r="V42" s="82"/>
      <c r="W42" s="8"/>
      <c r="X42" s="190"/>
      <c r="Y42" s="190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167"/>
      <c r="AK42" s="167"/>
      <c r="AL42" s="109"/>
      <c r="AM42" s="109"/>
      <c r="AN42" s="113"/>
      <c r="AO42" s="137"/>
      <c r="AP42" s="97"/>
      <c r="AQ42" s="97"/>
      <c r="AR42" s="104"/>
      <c r="AS42" s="125"/>
      <c r="AT42" s="8"/>
      <c r="AU42" s="8"/>
      <c r="AV42" s="8"/>
      <c r="AW42" s="8"/>
      <c r="AX42" s="13"/>
      <c r="AY42" s="8"/>
      <c r="AZ42" s="12"/>
      <c r="BA42" s="12"/>
      <c r="BB42" s="6"/>
      <c r="BJ42" s="32"/>
      <c r="BK42" s="30"/>
      <c r="BL42" s="30"/>
      <c r="BM42" s="30"/>
    </row>
    <row r="43" spans="1:66" s="4" customFormat="1" ht="18" x14ac:dyDescent="0.2">
      <c r="A43" s="130" t="s">
        <v>320</v>
      </c>
      <c r="B43" s="131"/>
      <c r="C43" s="197" t="str">
        <f>IF(L40&lt;=1,"Exempted",IF(L40&lt;=10000,"Low Level Waste",IF(L40&lt;=10000000,"Medium Level Waste", "High Level")))</f>
        <v>Low Level Waste</v>
      </c>
      <c r="D43" s="197"/>
      <c r="E43" s="197"/>
      <c r="F43" s="197"/>
      <c r="G43" s="197"/>
      <c r="H43" s="5"/>
      <c r="J43" s="95"/>
      <c r="K43" s="95"/>
      <c r="L43" s="117"/>
      <c r="M43" s="5"/>
      <c r="N43" s="144"/>
      <c r="O43" s="144"/>
      <c r="P43" s="144"/>
      <c r="Q43" s="144"/>
      <c r="R43" s="144"/>
      <c r="S43" s="144"/>
      <c r="T43" s="144"/>
      <c r="U43" s="8"/>
      <c r="V43" s="82"/>
      <c r="W43" s="8"/>
      <c r="X43" s="190"/>
      <c r="Y43" s="190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167"/>
      <c r="AK43" s="167"/>
      <c r="AL43" s="109"/>
      <c r="AM43" s="109"/>
      <c r="AN43" s="113"/>
      <c r="AO43" s="137"/>
      <c r="AP43" s="97"/>
      <c r="AQ43" s="97"/>
      <c r="AR43" s="104"/>
      <c r="AS43" s="125"/>
      <c r="AT43" s="8"/>
      <c r="AU43" s="8"/>
      <c r="AV43" s="8"/>
      <c r="AW43" s="8"/>
      <c r="AX43" s="13"/>
      <c r="AY43" s="8"/>
      <c r="AZ43" s="12"/>
      <c r="BA43" s="12"/>
      <c r="BB43" s="6"/>
      <c r="BJ43" s="32"/>
      <c r="BK43" s="30"/>
      <c r="BL43" s="30"/>
      <c r="BM43" s="30"/>
    </row>
    <row r="44" spans="1:66" s="4" customFormat="1" ht="18" x14ac:dyDescent="0.2">
      <c r="A44" s="130" t="s">
        <v>321</v>
      </c>
      <c r="B44" s="131"/>
      <c r="C44" s="198" t="str">
        <f>IF(L40&lt;=1,"Exempted",IF(Y40&lt;=1,"Transient",IF(AND(AS40&gt;1,AQ40&gt;400),"Long Lived","Short Lived")))</f>
        <v>Transient</v>
      </c>
      <c r="D44" s="198"/>
      <c r="E44" s="198"/>
      <c r="F44" s="198"/>
      <c r="G44" s="198"/>
      <c r="H44" s="5"/>
      <c r="J44" s="123"/>
      <c r="K44" s="123"/>
      <c r="L44" s="123"/>
      <c r="M44" s="5"/>
      <c r="N44" s="144"/>
      <c r="O44" s="144"/>
      <c r="P44" s="144"/>
      <c r="Q44" s="144"/>
      <c r="R44" s="144"/>
      <c r="S44" s="144"/>
      <c r="T44" s="144"/>
      <c r="U44" s="8"/>
      <c r="V44" s="82"/>
      <c r="W44" s="8"/>
      <c r="X44" s="190"/>
      <c r="Y44" s="190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167"/>
      <c r="AK44" s="167"/>
      <c r="AL44" s="109"/>
      <c r="AM44" s="109"/>
      <c r="AN44" s="113"/>
      <c r="AO44" s="137"/>
      <c r="AP44" s="97"/>
      <c r="AQ44" s="97"/>
      <c r="AR44" s="104"/>
      <c r="AS44" s="125"/>
      <c r="AT44" s="8"/>
      <c r="AU44" s="8"/>
      <c r="AV44" s="8"/>
      <c r="AW44" s="8"/>
      <c r="AX44" s="13"/>
      <c r="AY44" s="8"/>
      <c r="AZ44" s="12"/>
      <c r="BA44" s="12"/>
      <c r="BB44" s="6"/>
      <c r="BJ44" s="32"/>
      <c r="BK44" s="30"/>
      <c r="BL44" s="30"/>
      <c r="BM44" s="30"/>
    </row>
    <row r="45" spans="1:66" s="4" customFormat="1" ht="18" x14ac:dyDescent="0.2">
      <c r="A45" s="200" t="s">
        <v>326</v>
      </c>
      <c r="B45" s="200"/>
      <c r="C45" s="199" t="str">
        <f>IF(AA40=0,"VSLW",IF(AND(R40&lt;=100,AG40&lt;=1,T40&lt;1),"VLLW",IF(AND((AG40&lt;4000),(AI40&lt;50000)),"LLW","ILW")))</f>
        <v>ILW</v>
      </c>
      <c r="D45" s="199"/>
      <c r="E45" s="199"/>
      <c r="F45" s="199"/>
      <c r="G45" s="199"/>
      <c r="H45" s="5"/>
      <c r="I45" s="8"/>
      <c r="J45" s="8"/>
      <c r="K45" s="5"/>
      <c r="L45" s="117"/>
      <c r="M45" s="5"/>
      <c r="N45" s="144"/>
      <c r="O45" s="144"/>
      <c r="P45" s="144"/>
      <c r="Q45" s="144"/>
      <c r="R45" s="144"/>
      <c r="S45" s="144"/>
      <c r="T45" s="144"/>
      <c r="U45" s="8"/>
      <c r="V45" s="8"/>
      <c r="W45" s="8"/>
      <c r="X45" s="190"/>
      <c r="Y45" s="190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167"/>
      <c r="AK45" s="167"/>
      <c r="AL45" s="109"/>
      <c r="AM45" s="109"/>
      <c r="AN45" s="113"/>
      <c r="AO45" s="137"/>
      <c r="AP45" s="97"/>
      <c r="AQ45" s="97"/>
      <c r="AR45" s="104"/>
      <c r="AS45" s="125"/>
      <c r="AT45" s="8"/>
      <c r="AU45" s="8"/>
      <c r="AV45" s="8"/>
      <c r="AW45" s="8"/>
      <c r="AX45" s="13"/>
      <c r="AY45" s="8"/>
      <c r="AZ45" s="12"/>
      <c r="BA45" s="12"/>
      <c r="BB45" s="6"/>
      <c r="BJ45" s="32"/>
      <c r="BK45" s="30"/>
      <c r="BL45" s="30"/>
      <c r="BM45" s="30"/>
    </row>
    <row r="46" spans="1:66" s="35" customFormat="1" ht="15.75" hidden="1" x14ac:dyDescent="0.2">
      <c r="B46" s="132" t="s">
        <v>287</v>
      </c>
      <c r="C46" s="37" t="s">
        <v>291</v>
      </c>
      <c r="D46" s="175"/>
      <c r="E46" s="37"/>
      <c r="F46" s="37"/>
      <c r="G46" s="34"/>
      <c r="H46" s="80"/>
      <c r="I46" s="34"/>
      <c r="J46" s="34"/>
      <c r="K46" s="80"/>
      <c r="L46" s="120"/>
      <c r="M46" s="80"/>
      <c r="N46" s="146"/>
      <c r="O46" s="146"/>
      <c r="P46" s="146"/>
      <c r="Q46" s="146"/>
      <c r="R46" s="146"/>
      <c r="S46" s="146"/>
      <c r="T46" s="146"/>
      <c r="U46" s="34"/>
      <c r="V46" s="34"/>
      <c r="W46" s="34"/>
      <c r="X46" s="193"/>
      <c r="Y46" s="19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170"/>
      <c r="AK46" s="170"/>
      <c r="AL46" s="111"/>
      <c r="AM46" s="111"/>
      <c r="AN46" s="115"/>
      <c r="AO46" s="140"/>
      <c r="AP46" s="101"/>
      <c r="AQ46" s="101"/>
      <c r="AR46" s="106"/>
      <c r="AS46" s="128"/>
      <c r="AT46" s="34"/>
      <c r="AU46" s="34"/>
      <c r="AV46" s="34"/>
      <c r="AW46" s="34"/>
      <c r="AX46" s="38"/>
      <c r="AY46" s="34"/>
      <c r="AZ46" s="39"/>
      <c r="BA46" s="39"/>
      <c r="BB46" s="41"/>
      <c r="BJ46" s="36"/>
      <c r="BK46" s="40"/>
      <c r="BL46" s="40"/>
      <c r="BM46" s="40"/>
    </row>
    <row r="47" spans="1:66" s="35" customFormat="1" ht="15.75" hidden="1" x14ac:dyDescent="0.2">
      <c r="B47" s="132" t="s">
        <v>294</v>
      </c>
      <c r="C47" s="37" t="s">
        <v>290</v>
      </c>
      <c r="D47" s="175"/>
      <c r="E47" s="37"/>
      <c r="F47" s="37"/>
      <c r="G47" s="34"/>
      <c r="H47" s="80"/>
      <c r="I47" s="34"/>
      <c r="J47" s="34"/>
      <c r="K47" s="80"/>
      <c r="L47" s="120"/>
      <c r="M47" s="80"/>
      <c r="N47" s="146"/>
      <c r="O47" s="146"/>
      <c r="P47" s="146"/>
      <c r="Q47" s="146"/>
      <c r="R47" s="146"/>
      <c r="S47" s="146"/>
      <c r="T47" s="146"/>
      <c r="U47" s="34"/>
      <c r="V47" s="34"/>
      <c r="W47" s="34"/>
      <c r="X47" s="193"/>
      <c r="Y47" s="19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170"/>
      <c r="AK47" s="170"/>
      <c r="AL47" s="111"/>
      <c r="AM47" s="111"/>
      <c r="AN47" s="115"/>
      <c r="AO47" s="140"/>
      <c r="AP47" s="101"/>
      <c r="AQ47" s="101"/>
      <c r="AR47" s="106"/>
      <c r="AS47" s="128"/>
      <c r="AT47" s="34"/>
      <c r="AU47" s="34"/>
      <c r="AV47" s="34"/>
      <c r="AW47" s="34"/>
      <c r="AX47" s="38"/>
      <c r="AY47" s="34"/>
      <c r="AZ47" s="39"/>
      <c r="BA47" s="39"/>
      <c r="BB47" s="41"/>
      <c r="BJ47" s="36"/>
      <c r="BK47" s="40"/>
      <c r="BL47" s="40"/>
      <c r="BM47" s="40"/>
    </row>
    <row r="48" spans="1:66" s="35" customFormat="1" ht="15.75" hidden="1" x14ac:dyDescent="0.2">
      <c r="B48" s="132" t="s">
        <v>302</v>
      </c>
      <c r="C48" s="37" t="s">
        <v>290</v>
      </c>
      <c r="D48" s="175"/>
      <c r="E48" s="37"/>
      <c r="F48" s="37"/>
      <c r="G48" s="34"/>
      <c r="H48" s="80"/>
      <c r="I48" s="34"/>
      <c r="J48" s="34"/>
      <c r="K48" s="80"/>
      <c r="L48" s="120"/>
      <c r="M48" s="80"/>
      <c r="N48" s="146"/>
      <c r="O48" s="146"/>
      <c r="P48" s="146"/>
      <c r="Q48" s="146"/>
      <c r="R48" s="146"/>
      <c r="S48" s="146"/>
      <c r="T48" s="146"/>
      <c r="U48" s="34"/>
      <c r="V48" s="34"/>
      <c r="W48" s="34"/>
      <c r="X48" s="193"/>
      <c r="Y48" s="19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170"/>
      <c r="AK48" s="170"/>
      <c r="AL48" s="111"/>
      <c r="AM48" s="111"/>
      <c r="AN48" s="115"/>
      <c r="AO48" s="140"/>
      <c r="AP48" s="101"/>
      <c r="AQ48" s="101"/>
      <c r="AR48" s="106"/>
      <c r="AS48" s="128"/>
      <c r="AT48" s="34"/>
      <c r="AU48" s="34"/>
      <c r="AV48" s="34"/>
      <c r="AW48" s="34"/>
      <c r="AX48" s="38"/>
      <c r="AY48" s="34"/>
      <c r="AZ48" s="39"/>
      <c r="BA48" s="39"/>
      <c r="BB48" s="41"/>
      <c r="BJ48" s="36"/>
      <c r="BK48" s="40"/>
      <c r="BL48" s="40"/>
      <c r="BM48" s="40"/>
    </row>
    <row r="49" spans="1:65" ht="15.75" hidden="1" x14ac:dyDescent="0.2">
      <c r="B49" s="132" t="s">
        <v>297</v>
      </c>
      <c r="C49" s="37" t="s">
        <v>290</v>
      </c>
      <c r="D49" s="175"/>
    </row>
    <row r="50" spans="1:65" hidden="1" x14ac:dyDescent="0.2"/>
    <row r="51" spans="1:65" s="54" customFormat="1" hidden="1" x14ac:dyDescent="0.2">
      <c r="B51" s="134" t="s">
        <v>287</v>
      </c>
      <c r="C51" s="10" t="s">
        <v>300</v>
      </c>
      <c r="D51" s="176"/>
      <c r="G51" s="53"/>
      <c r="H51" s="81"/>
      <c r="I51" s="53"/>
      <c r="J51" s="53"/>
      <c r="K51" s="81"/>
      <c r="L51" s="122"/>
      <c r="M51" s="81"/>
      <c r="N51" s="147"/>
      <c r="O51" s="147"/>
      <c r="P51" s="147"/>
      <c r="Q51" s="147"/>
      <c r="R51" s="147"/>
      <c r="S51" s="147"/>
      <c r="T51" s="147"/>
      <c r="U51" s="53"/>
      <c r="V51" s="53"/>
      <c r="W51" s="53"/>
      <c r="X51" s="195"/>
      <c r="Y51" s="195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172"/>
      <c r="AK51" s="172"/>
      <c r="AL51" s="112"/>
      <c r="AM51" s="112"/>
      <c r="AN51" s="116"/>
      <c r="AO51" s="141"/>
      <c r="AP51" s="102"/>
      <c r="AQ51" s="102"/>
      <c r="AR51" s="107"/>
      <c r="AS51" s="129"/>
      <c r="AT51" s="53"/>
      <c r="AU51" s="53"/>
      <c r="AV51" s="53"/>
      <c r="AW51" s="53"/>
      <c r="AX51" s="55"/>
      <c r="AY51" s="53"/>
      <c r="BJ51" s="56"/>
      <c r="BK51" s="57"/>
      <c r="BL51" s="57"/>
      <c r="BM51" s="57"/>
    </row>
    <row r="52" spans="1:65" s="54" customFormat="1" hidden="1" x14ac:dyDescent="0.2">
      <c r="B52" s="134" t="s">
        <v>294</v>
      </c>
      <c r="C52" s="10" t="s">
        <v>300</v>
      </c>
      <c r="D52" s="176"/>
      <c r="G52" s="53"/>
      <c r="H52" s="81"/>
      <c r="I52" s="53"/>
      <c r="J52" s="53"/>
      <c r="K52" s="81"/>
      <c r="L52" s="122"/>
      <c r="M52" s="81"/>
      <c r="N52" s="147"/>
      <c r="O52" s="147"/>
      <c r="P52" s="147"/>
      <c r="Q52" s="147"/>
      <c r="R52" s="147"/>
      <c r="S52" s="147"/>
      <c r="T52" s="147"/>
      <c r="U52" s="53"/>
      <c r="V52" s="53"/>
      <c r="W52" s="53"/>
      <c r="X52" s="195"/>
      <c r="Y52" s="195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172"/>
      <c r="AK52" s="172"/>
      <c r="AL52" s="112"/>
      <c r="AM52" s="112"/>
      <c r="AN52" s="116"/>
      <c r="AO52" s="141"/>
      <c r="AP52" s="102"/>
      <c r="AQ52" s="102"/>
      <c r="AR52" s="107"/>
      <c r="AS52" s="129"/>
      <c r="AT52" s="53"/>
      <c r="AU52" s="53"/>
      <c r="AV52" s="53"/>
      <c r="AW52" s="53"/>
      <c r="AX52" s="55"/>
      <c r="AY52" s="53"/>
      <c r="BJ52" s="56"/>
      <c r="BK52" s="57"/>
      <c r="BL52" s="57"/>
      <c r="BM52" s="57"/>
    </row>
    <row r="53" spans="1:65" s="54" customFormat="1" hidden="1" x14ac:dyDescent="0.2">
      <c r="B53" s="134" t="s">
        <v>297</v>
      </c>
      <c r="C53" s="10" t="s">
        <v>301</v>
      </c>
      <c r="D53" s="176"/>
      <c r="G53" s="53"/>
      <c r="H53" s="81"/>
      <c r="I53" s="53"/>
      <c r="J53" s="53"/>
      <c r="K53" s="81"/>
      <c r="L53" s="122"/>
      <c r="M53" s="81"/>
      <c r="N53" s="147"/>
      <c r="O53" s="147"/>
      <c r="P53" s="147"/>
      <c r="Q53" s="147"/>
      <c r="R53" s="147"/>
      <c r="S53" s="147"/>
      <c r="T53" s="147"/>
      <c r="U53" s="53"/>
      <c r="V53" s="53"/>
      <c r="W53" s="53"/>
      <c r="X53" s="195"/>
      <c r="Y53" s="195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172"/>
      <c r="AK53" s="172"/>
      <c r="AL53" s="112"/>
      <c r="AM53" s="112"/>
      <c r="AN53" s="116"/>
      <c r="AO53" s="141"/>
      <c r="AP53" s="102"/>
      <c r="AQ53" s="102"/>
      <c r="AR53" s="107"/>
      <c r="AS53" s="129"/>
      <c r="AT53" s="53"/>
      <c r="AU53" s="53"/>
      <c r="AV53" s="53"/>
      <c r="AW53" s="53"/>
      <c r="AX53" s="55"/>
      <c r="AY53" s="53"/>
      <c r="BJ53" s="56"/>
      <c r="BK53" s="57"/>
      <c r="BL53" s="57"/>
      <c r="BM53" s="57"/>
    </row>
    <row r="54" spans="1:65" hidden="1" x14ac:dyDescent="0.2"/>
    <row r="55" spans="1:65" ht="18" x14ac:dyDescent="0.25">
      <c r="A55" s="202" t="s">
        <v>465</v>
      </c>
      <c r="B55" s="202"/>
      <c r="C55" s="201" t="str">
        <f>IF(AC40&gt;10,"Alpha Emitter","")</f>
        <v/>
      </c>
      <c r="D55" s="201"/>
      <c r="E55" s="201"/>
      <c r="F55" s="201"/>
      <c r="G55" s="201"/>
    </row>
    <row r="60" spans="1:65" x14ac:dyDescent="0.2">
      <c r="I60" s="124"/>
    </row>
  </sheetData>
  <mergeCells count="6">
    <mergeCell ref="C43:G43"/>
    <mergeCell ref="C44:G44"/>
    <mergeCell ref="C45:G45"/>
    <mergeCell ref="A45:B45"/>
    <mergeCell ref="C55:G55"/>
    <mergeCell ref="A55:B55"/>
  </mergeCells>
  <phoneticPr fontId="2" type="noConversion"/>
  <printOptions gridLines="1"/>
  <pageMargins left="0.75" right="0.75" top="1" bottom="0.52" header="0.5" footer="0.28999999999999998"/>
  <pageSetup paperSize="9" orientation="landscape" horizontalDpi="300" verticalDpi="300" r:id="rId1"/>
  <headerFooter alignWithMargins="0"/>
  <ignoredErrors>
    <ignoredError sqref="AZ41 BC41 BC18:BC19 BM40:BN40 BC20:BG22 BB20:BB21 BC7 BB23:BK23 BM18:BN22 BH18:BK22 BC40:BK40 BM7:BN7 BH7:BK7 AY40 BH15:BK15 BM15:BN15 BC15 AY15 AY7 AY18:AY23 BA7 BA40 BA15 BA18:BA23 BA3:BA5 AY4:AY5 AW3:AY3 AW4:AW5 BH3:BH5 BM3:BN5 BI4:BI5 BJ3:BK5 BC3:BC5" emptyCellReference="1"/>
    <ignoredError sqref="AG4:AI4 X3:X4 AI5:AJ5 AD5:AE5 V5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'D-Value_A1_A2_Exempted'!$A$2:$A$372</xm:f>
          </x14:formula1>
          <xm:sqref>A3:A40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</sheetPr>
  <dimension ref="A1:S378"/>
  <sheetViews>
    <sheetView tabSelected="1" workbookViewId="0">
      <pane xSplit="1" ySplit="1" topLeftCell="B45" activePane="bottomRight" state="frozen"/>
      <selection pane="topRight" activeCell="B1" sqref="B1"/>
      <selection pane="bottomLeft" activeCell="A2" sqref="A2"/>
      <selection pane="bottomRight" activeCell="R1" sqref="R1"/>
    </sheetView>
  </sheetViews>
  <sheetFormatPr defaultRowHeight="12.75" x14ac:dyDescent="0.2"/>
  <cols>
    <col min="1" max="9" width="10.85546875" customWidth="1"/>
    <col min="10" max="10" width="15.5703125" style="182" customWidth="1"/>
    <col min="11" max="15" width="10.85546875" customWidth="1"/>
    <col min="16" max="16" width="10.85546875" style="165" customWidth="1"/>
    <col min="17" max="17" width="17.85546875" style="184" customWidth="1"/>
    <col min="18" max="18" width="10.85546875" style="189" customWidth="1"/>
    <col min="19" max="19" width="10.85546875" customWidth="1"/>
  </cols>
  <sheetData>
    <row r="1" spans="1:19" ht="109.5" customHeight="1" x14ac:dyDescent="0.2">
      <c r="A1" s="152" t="s">
        <v>343</v>
      </c>
      <c r="B1" s="153" t="s">
        <v>344</v>
      </c>
      <c r="C1" s="153" t="s">
        <v>345</v>
      </c>
      <c r="D1" s="153" t="s">
        <v>346</v>
      </c>
      <c r="E1" s="154" t="s">
        <v>347</v>
      </c>
      <c r="F1" s="154" t="s">
        <v>348</v>
      </c>
      <c r="G1" s="153" t="s">
        <v>349</v>
      </c>
      <c r="H1" s="155"/>
      <c r="I1" s="166" t="s">
        <v>463</v>
      </c>
      <c r="J1" s="186" t="s">
        <v>469</v>
      </c>
      <c r="K1" s="153" t="s">
        <v>350</v>
      </c>
      <c r="L1" s="153" t="s">
        <v>351</v>
      </c>
      <c r="M1" s="154" t="s">
        <v>352</v>
      </c>
      <c r="N1" s="154" t="s">
        <v>353</v>
      </c>
      <c r="O1" s="153" t="s">
        <v>354</v>
      </c>
      <c r="P1" s="166" t="s">
        <v>464</v>
      </c>
      <c r="Q1" s="185" t="s">
        <v>355</v>
      </c>
      <c r="R1" s="186" t="s">
        <v>470</v>
      </c>
      <c r="S1" s="187" t="s">
        <v>356</v>
      </c>
    </row>
    <row r="2" spans="1:19" ht="15" x14ac:dyDescent="0.25">
      <c r="A2" t="s">
        <v>357</v>
      </c>
      <c r="B2" s="156">
        <v>0.09</v>
      </c>
      <c r="C2" s="156">
        <v>0.3</v>
      </c>
      <c r="D2" s="156">
        <v>0.09</v>
      </c>
      <c r="E2" s="157">
        <v>0.8</v>
      </c>
      <c r="F2" s="157">
        <v>6.0000000000000001E-3</v>
      </c>
      <c r="G2" s="157">
        <v>18</v>
      </c>
      <c r="H2" s="158" t="s">
        <v>358</v>
      </c>
      <c r="I2" s="157">
        <v>0.09</v>
      </c>
      <c r="J2" s="181">
        <v>90000000000</v>
      </c>
      <c r="K2" s="159">
        <v>300000000000</v>
      </c>
      <c r="L2" s="159">
        <v>90000000000</v>
      </c>
      <c r="M2" s="157">
        <v>800000000000</v>
      </c>
      <c r="N2" s="157">
        <v>6000000000</v>
      </c>
      <c r="O2" s="157">
        <v>18000000000000</v>
      </c>
      <c r="P2" s="156">
        <v>90000000000</v>
      </c>
      <c r="Q2" s="183">
        <v>10</v>
      </c>
      <c r="R2" s="188">
        <v>10000</v>
      </c>
      <c r="S2">
        <v>2.7379092630000001E-2</v>
      </c>
    </row>
    <row r="3" spans="1:19" ht="15" x14ac:dyDescent="0.25">
      <c r="A3" t="s">
        <v>359</v>
      </c>
      <c r="B3" s="156">
        <v>0.04</v>
      </c>
      <c r="C3" s="156">
        <v>0.2</v>
      </c>
      <c r="D3" s="156">
        <v>0.04</v>
      </c>
      <c r="E3" s="157">
        <v>0.9</v>
      </c>
      <c r="F3" s="157">
        <v>9.0000000000000006E-5</v>
      </c>
      <c r="G3" s="157">
        <v>0.27</v>
      </c>
      <c r="H3" s="158" t="s">
        <v>358</v>
      </c>
      <c r="I3" s="157">
        <v>0.04</v>
      </c>
      <c r="J3" s="181">
        <v>40000000000</v>
      </c>
      <c r="K3" s="159">
        <v>200000000000</v>
      </c>
      <c r="L3" s="159">
        <v>40000000000</v>
      </c>
      <c r="M3" s="157">
        <v>900000000000</v>
      </c>
      <c r="N3" s="157">
        <v>90000000</v>
      </c>
      <c r="O3" s="157">
        <v>270000000000.00003</v>
      </c>
      <c r="P3" s="156">
        <v>40000000000</v>
      </c>
      <c r="Q3" s="183">
        <v>0.1</v>
      </c>
      <c r="R3" s="188">
        <v>1000</v>
      </c>
      <c r="S3" t="e">
        <v>#N/A</v>
      </c>
    </row>
    <row r="4" spans="1:19" ht="15" x14ac:dyDescent="0.25">
      <c r="A4" t="s">
        <v>176</v>
      </c>
      <c r="B4" s="156">
        <v>0.03</v>
      </c>
      <c r="C4" s="156">
        <v>0.03</v>
      </c>
      <c r="D4" s="156">
        <v>100</v>
      </c>
      <c r="E4" s="157">
        <v>0.6</v>
      </c>
      <c r="F4" s="157">
        <v>0.5</v>
      </c>
      <c r="G4" s="157">
        <v>1500</v>
      </c>
      <c r="H4" s="158" t="s">
        <v>358</v>
      </c>
      <c r="I4" s="157">
        <v>0.03</v>
      </c>
      <c r="J4" s="181">
        <v>30000000000</v>
      </c>
      <c r="K4" s="159">
        <v>30000000000</v>
      </c>
      <c r="L4" s="159">
        <v>100000000000000</v>
      </c>
      <c r="M4" s="157">
        <v>600000000000</v>
      </c>
      <c r="N4" s="157">
        <v>500000000000</v>
      </c>
      <c r="O4" s="157">
        <v>1500000000000000</v>
      </c>
      <c r="P4" s="156">
        <v>30000000000</v>
      </c>
      <c r="Q4" s="183">
        <v>10</v>
      </c>
      <c r="R4" s="188">
        <v>1000000</v>
      </c>
      <c r="S4">
        <v>7.1868583162219997E-4</v>
      </c>
    </row>
    <row r="5" spans="1:19" ht="15" x14ac:dyDescent="0.25">
      <c r="A5" t="s">
        <v>91</v>
      </c>
      <c r="B5" s="156">
        <v>0.1</v>
      </c>
      <c r="C5" s="156">
        <v>0.1</v>
      </c>
      <c r="D5" s="156">
        <v>100</v>
      </c>
      <c r="E5" s="157">
        <v>2</v>
      </c>
      <c r="F5" s="157">
        <v>2</v>
      </c>
      <c r="G5" s="157">
        <v>6000</v>
      </c>
      <c r="H5" s="158" t="s">
        <v>358</v>
      </c>
      <c r="I5" s="157">
        <v>0.1</v>
      </c>
      <c r="J5" s="181">
        <v>100000000000</v>
      </c>
      <c r="K5" s="159">
        <v>100000000000</v>
      </c>
      <c r="L5" s="159">
        <v>100000000000000</v>
      </c>
      <c r="M5" s="157">
        <v>2000000000000</v>
      </c>
      <c r="N5" s="157">
        <v>2000000000000</v>
      </c>
      <c r="O5" s="157">
        <v>6000000000000000</v>
      </c>
      <c r="P5" s="156">
        <v>100000000000</v>
      </c>
      <c r="Q5" s="183">
        <v>100</v>
      </c>
      <c r="R5" s="188">
        <v>1000000</v>
      </c>
      <c r="S5" t="e">
        <v>#N/A</v>
      </c>
    </row>
    <row r="6" spans="1:19" ht="15" x14ac:dyDescent="0.25">
      <c r="A6" t="s">
        <v>236</v>
      </c>
      <c r="B6" s="156">
        <v>0.04</v>
      </c>
      <c r="C6" s="156">
        <v>0.04</v>
      </c>
      <c r="D6" s="156">
        <v>20</v>
      </c>
      <c r="E6" s="157">
        <v>0.7</v>
      </c>
      <c r="F6" s="157">
        <v>0.7</v>
      </c>
      <c r="G6" s="157">
        <v>2100</v>
      </c>
      <c r="H6" s="158" t="s">
        <v>358</v>
      </c>
      <c r="I6" s="157">
        <v>0.04</v>
      </c>
      <c r="J6" s="181">
        <v>40000000000</v>
      </c>
      <c r="K6" s="159">
        <v>40000000000</v>
      </c>
      <c r="L6" s="159">
        <v>20000000000000</v>
      </c>
      <c r="M6" s="157">
        <v>700000000000</v>
      </c>
      <c r="N6" s="157">
        <v>700000000000</v>
      </c>
      <c r="O6" s="157">
        <v>2100000000000000</v>
      </c>
      <c r="P6" s="156">
        <v>40000000000</v>
      </c>
      <c r="Q6" s="183">
        <v>10</v>
      </c>
      <c r="R6" s="188">
        <v>1000000</v>
      </c>
      <c r="S6" t="e">
        <v>#N/A</v>
      </c>
    </row>
    <row r="7" spans="1:19" ht="15" x14ac:dyDescent="0.25">
      <c r="A7" t="s">
        <v>92</v>
      </c>
      <c r="B7" s="156">
        <v>0.02</v>
      </c>
      <c r="C7" s="156">
        <v>0.02</v>
      </c>
      <c r="D7" s="156">
        <v>20</v>
      </c>
      <c r="E7" s="157">
        <v>0.4</v>
      </c>
      <c r="F7" s="157">
        <v>0.4</v>
      </c>
      <c r="G7" s="157">
        <v>1200</v>
      </c>
      <c r="H7" s="158" t="s">
        <v>358</v>
      </c>
      <c r="I7" s="157">
        <v>0.02</v>
      </c>
      <c r="J7" s="181">
        <v>20000000000</v>
      </c>
      <c r="K7" s="159">
        <v>20000000000</v>
      </c>
      <c r="L7" s="159">
        <v>20000000000000</v>
      </c>
      <c r="M7" s="157">
        <v>400000000000</v>
      </c>
      <c r="N7" s="157">
        <v>400000000000</v>
      </c>
      <c r="O7" s="157">
        <v>1200000000000000</v>
      </c>
      <c r="P7" s="156">
        <v>20000000000</v>
      </c>
      <c r="Q7" s="183">
        <v>10</v>
      </c>
      <c r="R7" s="188">
        <v>1000000</v>
      </c>
      <c r="S7">
        <v>0.68446269678302496</v>
      </c>
    </row>
    <row r="8" spans="1:19" ht="15" x14ac:dyDescent="0.25">
      <c r="A8" t="s">
        <v>93</v>
      </c>
      <c r="B8" s="156">
        <v>2</v>
      </c>
      <c r="C8" s="156">
        <v>2</v>
      </c>
      <c r="D8" s="156">
        <v>30</v>
      </c>
      <c r="E8" s="157">
        <v>2</v>
      </c>
      <c r="F8" s="157">
        <v>0.6</v>
      </c>
      <c r="G8" s="157">
        <v>1800</v>
      </c>
      <c r="H8" s="158" t="s">
        <v>358</v>
      </c>
      <c r="I8" s="157">
        <v>2</v>
      </c>
      <c r="J8" s="181">
        <v>2000000000000</v>
      </c>
      <c r="K8" s="159">
        <v>2000000000000</v>
      </c>
      <c r="L8" s="159">
        <v>30000000000000</v>
      </c>
      <c r="M8" s="157">
        <v>2000000000000</v>
      </c>
      <c r="N8" s="157">
        <v>600000000000</v>
      </c>
      <c r="O8" s="157">
        <v>1800000000000000</v>
      </c>
      <c r="P8" s="156">
        <v>2000000000000</v>
      </c>
      <c r="Q8" s="183">
        <v>1000</v>
      </c>
      <c r="R8" s="188">
        <v>1000000</v>
      </c>
      <c r="S8" t="e">
        <v>#N/A</v>
      </c>
    </row>
    <row r="9" spans="1:19" ht="15" x14ac:dyDescent="0.25">
      <c r="A9" t="s">
        <v>360</v>
      </c>
      <c r="B9" s="156">
        <v>0.03</v>
      </c>
      <c r="C9" s="156">
        <v>0.03</v>
      </c>
      <c r="D9" s="156">
        <v>5</v>
      </c>
      <c r="E9" s="157">
        <v>0.1</v>
      </c>
      <c r="F9" s="157">
        <v>0.1</v>
      </c>
      <c r="G9" s="157">
        <v>300</v>
      </c>
      <c r="H9" s="158" t="s">
        <v>358</v>
      </c>
      <c r="I9" s="157">
        <v>0.03</v>
      </c>
      <c r="J9" s="181">
        <v>30000000000</v>
      </c>
      <c r="K9" s="159">
        <v>30000000000</v>
      </c>
      <c r="L9" s="159">
        <v>5000000000000</v>
      </c>
      <c r="M9" s="157">
        <v>100000000000</v>
      </c>
      <c r="N9" s="157">
        <v>100000000000</v>
      </c>
      <c r="O9" s="157">
        <v>300000000000000</v>
      </c>
      <c r="P9" s="156">
        <v>30000000000</v>
      </c>
      <c r="Q9" s="183">
        <v>10</v>
      </c>
      <c r="R9" s="188">
        <v>100000</v>
      </c>
      <c r="S9" t="e">
        <v>#N/A</v>
      </c>
    </row>
    <row r="10" spans="1:19" ht="15" x14ac:dyDescent="0.25">
      <c r="A10" t="s">
        <v>3</v>
      </c>
      <c r="B10" s="156">
        <v>0.06</v>
      </c>
      <c r="C10" s="156">
        <v>8</v>
      </c>
      <c r="D10" s="156">
        <v>0.06</v>
      </c>
      <c r="E10" s="157">
        <v>10</v>
      </c>
      <c r="F10" s="157">
        <v>1E-3</v>
      </c>
      <c r="G10" s="160">
        <v>0.6</v>
      </c>
      <c r="H10" s="158" t="s">
        <v>361</v>
      </c>
      <c r="I10" s="163">
        <v>0.06</v>
      </c>
      <c r="J10" s="181">
        <v>60000000000</v>
      </c>
      <c r="K10" s="159">
        <v>8000000000000</v>
      </c>
      <c r="L10" s="159">
        <v>60000000000</v>
      </c>
      <c r="M10" s="157">
        <v>10000000000000</v>
      </c>
      <c r="N10" s="157">
        <v>1000000000</v>
      </c>
      <c r="O10" s="157">
        <v>600000000000</v>
      </c>
      <c r="P10" s="156">
        <v>60000000000</v>
      </c>
      <c r="Q10" s="183">
        <v>1</v>
      </c>
      <c r="R10" s="188">
        <v>10000</v>
      </c>
      <c r="S10">
        <v>432</v>
      </c>
    </row>
    <row r="11" spans="1:19" ht="15" x14ac:dyDescent="0.25">
      <c r="A11" t="s">
        <v>255</v>
      </c>
      <c r="B11" s="156">
        <v>0.3</v>
      </c>
      <c r="C11" s="156">
        <v>1</v>
      </c>
      <c r="D11" s="156">
        <v>0.3</v>
      </c>
      <c r="E11" s="157">
        <v>10</v>
      </c>
      <c r="F11" s="157">
        <v>1E-3</v>
      </c>
      <c r="G11" s="157">
        <v>3</v>
      </c>
      <c r="H11" s="158" t="s">
        <v>358</v>
      </c>
      <c r="I11" s="163">
        <v>0.06</v>
      </c>
      <c r="J11" s="181">
        <v>300000000000</v>
      </c>
      <c r="K11" s="159">
        <v>1000000000000</v>
      </c>
      <c r="L11" s="159">
        <v>300000000000</v>
      </c>
      <c r="M11" s="157">
        <v>10000000000000</v>
      </c>
      <c r="N11" s="157">
        <v>1000000000</v>
      </c>
      <c r="O11" s="157">
        <v>3000000000000</v>
      </c>
      <c r="P11" s="156">
        <v>300000000000</v>
      </c>
      <c r="Q11" s="183">
        <v>1</v>
      </c>
      <c r="R11" s="188">
        <v>10000</v>
      </c>
      <c r="S11" t="e">
        <v>#N/A</v>
      </c>
    </row>
    <row r="12" spans="1:19" ht="15" x14ac:dyDescent="0.25">
      <c r="A12" t="s">
        <v>256</v>
      </c>
      <c r="B12" s="156">
        <v>0.2</v>
      </c>
      <c r="C12" s="156">
        <v>0.4</v>
      </c>
      <c r="D12" s="156">
        <v>0.2</v>
      </c>
      <c r="E12" s="157">
        <v>5</v>
      </c>
      <c r="F12" s="157">
        <v>1E-3</v>
      </c>
      <c r="G12" s="157">
        <v>3</v>
      </c>
      <c r="H12" s="158" t="s">
        <v>358</v>
      </c>
      <c r="I12" s="157">
        <v>0.2</v>
      </c>
      <c r="J12" s="181">
        <v>200000000000</v>
      </c>
      <c r="K12" s="159">
        <v>400000000000</v>
      </c>
      <c r="L12" s="159">
        <v>200000000000</v>
      </c>
      <c r="M12" s="157">
        <v>5000000000000</v>
      </c>
      <c r="N12" s="157">
        <v>1000000000</v>
      </c>
      <c r="O12" s="157">
        <v>3000000000000</v>
      </c>
      <c r="P12" s="156">
        <v>200000000000</v>
      </c>
      <c r="Q12" s="183">
        <v>1</v>
      </c>
      <c r="R12" s="188">
        <v>1000</v>
      </c>
      <c r="S12">
        <v>7380</v>
      </c>
    </row>
    <row r="13" spans="1:19" ht="15" x14ac:dyDescent="0.25">
      <c r="A13" t="s">
        <v>17</v>
      </c>
      <c r="B13" s="156" t="s">
        <v>362</v>
      </c>
      <c r="C13" s="156" t="s">
        <v>362</v>
      </c>
      <c r="D13" s="156" t="s">
        <v>362</v>
      </c>
      <c r="E13" s="157">
        <v>40</v>
      </c>
      <c r="F13" s="157">
        <v>40</v>
      </c>
      <c r="G13" s="157">
        <v>120000</v>
      </c>
      <c r="H13" s="158" t="s">
        <v>358</v>
      </c>
      <c r="I13" s="157" t="s">
        <v>362</v>
      </c>
      <c r="J13" s="181" t="s">
        <v>362</v>
      </c>
      <c r="K13" s="159" t="s">
        <v>362</v>
      </c>
      <c r="L13" s="159" t="s">
        <v>362</v>
      </c>
      <c r="M13" s="157">
        <v>40000000000000</v>
      </c>
      <c r="N13" s="157">
        <v>40000000000000</v>
      </c>
      <c r="O13" s="157">
        <v>1.2E+17</v>
      </c>
      <c r="P13" s="164" t="s">
        <v>362</v>
      </c>
      <c r="Q13" s="183">
        <v>1000000</v>
      </c>
      <c r="R13" s="188">
        <v>100000000</v>
      </c>
      <c r="S13" t="e">
        <v>#N/A</v>
      </c>
    </row>
    <row r="14" spans="1:19" ht="15" x14ac:dyDescent="0.25">
      <c r="A14" t="s">
        <v>363</v>
      </c>
      <c r="B14" s="156">
        <v>300</v>
      </c>
      <c r="C14" s="156">
        <v>300</v>
      </c>
      <c r="D14" s="156">
        <v>30000</v>
      </c>
      <c r="E14" s="157">
        <v>40</v>
      </c>
      <c r="F14" s="157">
        <v>20</v>
      </c>
      <c r="G14" s="157">
        <v>60000</v>
      </c>
      <c r="H14" s="158" t="s">
        <v>358</v>
      </c>
      <c r="I14" s="157">
        <v>300</v>
      </c>
      <c r="J14" s="181">
        <v>300000000000000</v>
      </c>
      <c r="K14" s="159">
        <v>300000000000000</v>
      </c>
      <c r="L14" s="159">
        <v>3E+16</v>
      </c>
      <c r="M14" s="157">
        <v>40000000000000</v>
      </c>
      <c r="N14" s="157">
        <v>20000000000000</v>
      </c>
      <c r="O14" s="157">
        <v>6E+16</v>
      </c>
      <c r="P14" s="156">
        <v>300000000000000</v>
      </c>
      <c r="Q14" s="183">
        <v>10000000000</v>
      </c>
      <c r="R14" s="188">
        <v>10000</v>
      </c>
      <c r="S14" t="e">
        <v>#N/A</v>
      </c>
    </row>
    <row r="15" spans="1:19" ht="15" x14ac:dyDescent="0.25">
      <c r="A15" t="s">
        <v>18</v>
      </c>
      <c r="B15" s="156">
        <v>0.05</v>
      </c>
      <c r="C15" s="156">
        <v>0.05</v>
      </c>
      <c r="D15" s="156">
        <v>3</v>
      </c>
      <c r="E15" s="157">
        <v>0.3</v>
      </c>
      <c r="F15" s="157">
        <v>0.3</v>
      </c>
      <c r="G15" s="157">
        <v>900</v>
      </c>
      <c r="H15" s="158" t="s">
        <v>358</v>
      </c>
      <c r="I15" s="157">
        <v>0.05</v>
      </c>
      <c r="J15" s="181">
        <v>50000000000</v>
      </c>
      <c r="K15" s="159">
        <v>50000000000</v>
      </c>
      <c r="L15" s="159">
        <v>3000000000000</v>
      </c>
      <c r="M15" s="157">
        <v>300000000000</v>
      </c>
      <c r="N15" s="157">
        <v>300000000000</v>
      </c>
      <c r="O15" s="157">
        <v>900000000000000</v>
      </c>
      <c r="P15" s="156">
        <v>50000000000</v>
      </c>
      <c r="Q15" s="183">
        <v>100</v>
      </c>
      <c r="R15" s="188">
        <v>1000000000</v>
      </c>
      <c r="S15" t="e">
        <v>#N/A</v>
      </c>
    </row>
    <row r="16" spans="1:19" ht="15" x14ac:dyDescent="0.25">
      <c r="A16" t="s">
        <v>364</v>
      </c>
      <c r="B16" s="156">
        <v>0.04</v>
      </c>
      <c r="C16" s="156">
        <v>0.04</v>
      </c>
      <c r="D16" s="156">
        <v>90</v>
      </c>
      <c r="E16" s="157">
        <v>0.3</v>
      </c>
      <c r="F16" s="157">
        <v>0.3</v>
      </c>
      <c r="G16" s="157">
        <v>900</v>
      </c>
      <c r="H16" s="158" t="s">
        <v>358</v>
      </c>
      <c r="I16" s="157">
        <v>0.04</v>
      </c>
      <c r="J16" s="181">
        <v>40000000000</v>
      </c>
      <c r="K16" s="159">
        <v>40000000000</v>
      </c>
      <c r="L16" s="159">
        <v>90000000000000</v>
      </c>
      <c r="M16" s="157">
        <v>300000000000</v>
      </c>
      <c r="N16" s="157">
        <v>300000000000</v>
      </c>
      <c r="O16" s="157">
        <v>900000000000000</v>
      </c>
      <c r="P16" s="156">
        <v>40000000000</v>
      </c>
      <c r="Q16" s="183">
        <v>10</v>
      </c>
      <c r="R16" s="188">
        <v>100000</v>
      </c>
      <c r="S16" t="e">
        <v>#N/A</v>
      </c>
    </row>
    <row r="17" spans="1:19" ht="15" x14ac:dyDescent="0.25">
      <c r="A17" t="s">
        <v>49</v>
      </c>
      <c r="B17" s="156">
        <v>40</v>
      </c>
      <c r="C17" s="156">
        <v>40</v>
      </c>
      <c r="D17" s="156">
        <v>100</v>
      </c>
      <c r="E17" s="157">
        <v>40</v>
      </c>
      <c r="F17" s="157">
        <v>40</v>
      </c>
      <c r="G17" s="157">
        <v>120000</v>
      </c>
      <c r="H17" s="158" t="s">
        <v>358</v>
      </c>
      <c r="I17" s="157">
        <v>40</v>
      </c>
      <c r="J17" s="181">
        <v>40000000000000</v>
      </c>
      <c r="K17" s="159">
        <v>40000000000000</v>
      </c>
      <c r="L17" s="159">
        <v>100000000000000</v>
      </c>
      <c r="M17" s="157">
        <v>40000000000000</v>
      </c>
      <c r="N17" s="157">
        <v>40000000000000</v>
      </c>
      <c r="O17" s="157">
        <v>1.2E+17</v>
      </c>
      <c r="P17" s="156">
        <v>40000000000000</v>
      </c>
      <c r="Q17" s="183">
        <v>1000</v>
      </c>
      <c r="R17" s="188">
        <v>10000000</v>
      </c>
      <c r="S17" t="e">
        <v>#N/A</v>
      </c>
    </row>
    <row r="18" spans="1:19" ht="15" x14ac:dyDescent="0.25">
      <c r="A18" t="s">
        <v>50</v>
      </c>
      <c r="B18" s="156">
        <v>0.09</v>
      </c>
      <c r="C18" s="156">
        <v>0.09</v>
      </c>
      <c r="D18" s="156">
        <v>30</v>
      </c>
      <c r="E18" s="157">
        <v>1</v>
      </c>
      <c r="F18" s="157">
        <v>0.9</v>
      </c>
      <c r="G18" s="157">
        <v>2700</v>
      </c>
      <c r="H18" s="158" t="s">
        <v>358</v>
      </c>
      <c r="I18" s="157">
        <v>0.09</v>
      </c>
      <c r="J18" s="181">
        <v>90000000000</v>
      </c>
      <c r="K18" s="159">
        <v>90000000000</v>
      </c>
      <c r="L18" s="159">
        <v>30000000000000</v>
      </c>
      <c r="M18" s="157">
        <v>1000000000000</v>
      </c>
      <c r="N18" s="157">
        <v>900000000000</v>
      </c>
      <c r="O18" s="157">
        <v>2700000000000000</v>
      </c>
      <c r="P18" s="156">
        <v>90000000000</v>
      </c>
      <c r="Q18" s="183">
        <v>10</v>
      </c>
      <c r="R18" s="188">
        <v>1000000</v>
      </c>
      <c r="S18">
        <v>4.8733744010951402E-2</v>
      </c>
    </row>
    <row r="19" spans="1:19" ht="15" x14ac:dyDescent="0.25">
      <c r="A19" t="s">
        <v>51</v>
      </c>
      <c r="B19" s="156">
        <v>0.2</v>
      </c>
      <c r="C19" s="156">
        <v>0.2</v>
      </c>
      <c r="D19" s="156">
        <v>10</v>
      </c>
      <c r="E19" s="157">
        <v>0.3</v>
      </c>
      <c r="F19" s="157">
        <v>0.3</v>
      </c>
      <c r="G19" s="157">
        <v>900</v>
      </c>
      <c r="H19" s="158" t="s">
        <v>358</v>
      </c>
      <c r="I19" s="157">
        <v>0.2</v>
      </c>
      <c r="J19" s="181">
        <v>200000000000</v>
      </c>
      <c r="K19" s="159">
        <v>200000000000</v>
      </c>
      <c r="L19" s="159">
        <v>10000000000000</v>
      </c>
      <c r="M19" s="157">
        <v>300000000000</v>
      </c>
      <c r="N19" s="157">
        <v>300000000000</v>
      </c>
      <c r="O19" s="157">
        <v>900000000000000</v>
      </c>
      <c r="P19" s="156">
        <v>200000000000</v>
      </c>
      <c r="Q19" s="183">
        <v>100</v>
      </c>
      <c r="R19" s="188">
        <v>100000</v>
      </c>
      <c r="S19" t="e">
        <v>#N/A</v>
      </c>
    </row>
    <row r="20" spans="1:19" ht="15" x14ac:dyDescent="0.25">
      <c r="A20" t="s">
        <v>52</v>
      </c>
      <c r="B20" s="156">
        <v>8</v>
      </c>
      <c r="C20" s="156">
        <v>8</v>
      </c>
      <c r="D20" s="156">
        <v>40</v>
      </c>
      <c r="E20" s="157">
        <v>20</v>
      </c>
      <c r="F20" s="157">
        <v>0.7</v>
      </c>
      <c r="G20" s="157">
        <v>2100</v>
      </c>
      <c r="H20" s="158" t="s">
        <v>358</v>
      </c>
      <c r="I20" s="157">
        <v>8</v>
      </c>
      <c r="J20" s="181">
        <v>8000000000000</v>
      </c>
      <c r="K20" s="159">
        <v>8000000000000</v>
      </c>
      <c r="L20" s="159">
        <v>40000000000000</v>
      </c>
      <c r="M20" s="157">
        <v>20000000000000</v>
      </c>
      <c r="N20" s="157">
        <v>700000000000</v>
      </c>
      <c r="O20" s="157">
        <v>2100000000000000</v>
      </c>
      <c r="P20" s="156">
        <v>8000000000000</v>
      </c>
      <c r="Q20" s="183">
        <v>1000</v>
      </c>
      <c r="R20" s="188">
        <v>1000000</v>
      </c>
      <c r="S20">
        <v>4.435318275154E-3</v>
      </c>
    </row>
    <row r="21" spans="1:19" ht="15" x14ac:dyDescent="0.25">
      <c r="A21" t="s">
        <v>174</v>
      </c>
      <c r="B21" s="156">
        <v>0.5</v>
      </c>
      <c r="C21" s="156">
        <v>0.5</v>
      </c>
      <c r="D21" s="156">
        <v>10</v>
      </c>
      <c r="E21" s="157">
        <v>20</v>
      </c>
      <c r="F21" s="157">
        <v>0.5</v>
      </c>
      <c r="G21" s="157">
        <v>1500</v>
      </c>
      <c r="H21" s="158" t="s">
        <v>358</v>
      </c>
      <c r="I21" s="157">
        <v>0.5</v>
      </c>
      <c r="J21" s="181">
        <v>500000000000</v>
      </c>
      <c r="K21" s="159">
        <v>500000000000</v>
      </c>
      <c r="L21" s="159">
        <v>10000000000000</v>
      </c>
      <c r="M21" s="157">
        <v>20000000000000</v>
      </c>
      <c r="N21" s="157">
        <v>500000000000</v>
      </c>
      <c r="O21" s="157">
        <v>1500000000000000</v>
      </c>
      <c r="P21" s="156">
        <v>500000000000</v>
      </c>
      <c r="Q21" s="183">
        <v>1000</v>
      </c>
      <c r="R21" s="188">
        <v>10000000</v>
      </c>
      <c r="S21" t="e">
        <v>#N/A</v>
      </c>
    </row>
    <row r="22" spans="1:19" ht="15" x14ac:dyDescent="0.25">
      <c r="A22" t="s">
        <v>365</v>
      </c>
      <c r="B22" s="156">
        <v>0.6</v>
      </c>
      <c r="C22" s="156">
        <v>0.6</v>
      </c>
      <c r="D22" s="156">
        <v>1000</v>
      </c>
      <c r="E22" s="157">
        <v>7</v>
      </c>
      <c r="F22" s="157">
        <v>2</v>
      </c>
      <c r="G22" s="157">
        <v>6000</v>
      </c>
      <c r="H22" s="158" t="s">
        <v>358</v>
      </c>
      <c r="I22" s="157">
        <v>0.6</v>
      </c>
      <c r="J22" s="181">
        <v>600000000000</v>
      </c>
      <c r="K22" s="159">
        <v>600000000000</v>
      </c>
      <c r="L22" s="159">
        <v>1000000000000000</v>
      </c>
      <c r="M22" s="157">
        <v>7000000000000</v>
      </c>
      <c r="N22" s="157">
        <v>2000000000000</v>
      </c>
      <c r="O22" s="157">
        <v>6000000000000000</v>
      </c>
      <c r="P22" s="156">
        <v>600000000000</v>
      </c>
      <c r="Q22" s="183">
        <v>100</v>
      </c>
      <c r="R22" s="188">
        <v>10000000</v>
      </c>
      <c r="S22" t="e">
        <v>#N/A</v>
      </c>
    </row>
    <row r="23" spans="1:19" ht="15" x14ac:dyDescent="0.25">
      <c r="A23" t="s">
        <v>366</v>
      </c>
      <c r="B23" s="156">
        <v>7.0000000000000007E-2</v>
      </c>
      <c r="C23" s="156">
        <v>7.0000000000000007E-2</v>
      </c>
      <c r="D23" s="156">
        <v>400</v>
      </c>
      <c r="E23" s="157">
        <v>1</v>
      </c>
      <c r="F23" s="157">
        <v>1</v>
      </c>
      <c r="G23" s="157">
        <v>3000</v>
      </c>
      <c r="H23" s="158" t="s">
        <v>358</v>
      </c>
      <c r="I23" s="157">
        <v>7.0000000000000007E-2</v>
      </c>
      <c r="J23" s="181">
        <v>70000000000</v>
      </c>
      <c r="K23" s="159">
        <v>70000000000</v>
      </c>
      <c r="L23" s="159">
        <v>400000000000000</v>
      </c>
      <c r="M23" s="157">
        <v>1000000000000</v>
      </c>
      <c r="N23" s="157">
        <v>1000000000000</v>
      </c>
      <c r="O23" s="157">
        <v>3000000000000000</v>
      </c>
      <c r="P23" s="156">
        <v>70000000000</v>
      </c>
      <c r="Q23" s="183">
        <v>10</v>
      </c>
      <c r="R23" s="188">
        <v>1000000</v>
      </c>
      <c r="S23" t="e">
        <v>#N/A</v>
      </c>
    </row>
    <row r="24" spans="1:19" ht="15" x14ac:dyDescent="0.25">
      <c r="A24" t="s">
        <v>258</v>
      </c>
      <c r="B24" s="156">
        <v>2</v>
      </c>
      <c r="C24" s="156">
        <v>2</v>
      </c>
      <c r="D24" s="156">
        <v>100</v>
      </c>
      <c r="E24" s="157">
        <v>10</v>
      </c>
      <c r="F24" s="157">
        <v>6</v>
      </c>
      <c r="G24" s="157">
        <v>18000</v>
      </c>
      <c r="H24" s="158" t="s">
        <v>358</v>
      </c>
      <c r="I24" s="157">
        <v>2</v>
      </c>
      <c r="J24" s="181">
        <v>2000000000000</v>
      </c>
      <c r="K24" s="159">
        <v>2000000000000</v>
      </c>
      <c r="L24" s="159">
        <v>100000000000000</v>
      </c>
      <c r="M24" s="157">
        <v>10000000000000</v>
      </c>
      <c r="N24" s="157">
        <v>6000000000000</v>
      </c>
      <c r="O24" s="157">
        <v>1.8E+16</v>
      </c>
      <c r="P24" s="156">
        <v>2000000000000</v>
      </c>
      <c r="Q24" s="183">
        <v>100</v>
      </c>
      <c r="R24" s="188">
        <v>10000000</v>
      </c>
      <c r="S24">
        <v>0.50102669404517397</v>
      </c>
    </row>
    <row r="25" spans="1:19" ht="15" x14ac:dyDescent="0.25">
      <c r="A25" t="s">
        <v>164</v>
      </c>
      <c r="B25" s="156">
        <v>0.2</v>
      </c>
      <c r="C25" s="156">
        <v>0.2</v>
      </c>
      <c r="D25" s="156">
        <v>30</v>
      </c>
      <c r="E25" s="157">
        <v>1</v>
      </c>
      <c r="F25" s="157">
        <v>0.6</v>
      </c>
      <c r="G25" s="160">
        <v>2</v>
      </c>
      <c r="H25" s="158" t="s">
        <v>361</v>
      </c>
      <c r="I25" s="157">
        <v>0.2</v>
      </c>
      <c r="J25" s="181">
        <v>200000000000</v>
      </c>
      <c r="K25" s="159">
        <v>200000000000</v>
      </c>
      <c r="L25" s="159">
        <v>30000000000000</v>
      </c>
      <c r="M25" s="157">
        <v>1000000000000</v>
      </c>
      <c r="N25" s="157">
        <v>600000000000</v>
      </c>
      <c r="O25" s="157">
        <v>2000000000000</v>
      </c>
      <c r="P25" s="156">
        <v>200000000000</v>
      </c>
      <c r="Q25" s="183">
        <v>100</v>
      </c>
      <c r="R25" s="188">
        <v>1000000</v>
      </c>
      <c r="S25" t="e">
        <v>#N/A</v>
      </c>
    </row>
    <row r="26" spans="1:19" ht="15" x14ac:dyDescent="0.25">
      <c r="A26" t="s">
        <v>165</v>
      </c>
      <c r="B26" s="156">
        <v>0.9</v>
      </c>
      <c r="C26" s="156">
        <v>0.9</v>
      </c>
      <c r="D26" s="156">
        <v>300</v>
      </c>
      <c r="E26" s="157">
        <v>10</v>
      </c>
      <c r="F26" s="157">
        <v>0.6</v>
      </c>
      <c r="G26" s="157">
        <v>1800</v>
      </c>
      <c r="H26" s="158" t="s">
        <v>358</v>
      </c>
      <c r="I26" s="157">
        <v>0.9</v>
      </c>
      <c r="J26" s="181">
        <v>900000000000</v>
      </c>
      <c r="K26" s="159">
        <v>900000000000</v>
      </c>
      <c r="L26" s="159">
        <v>300000000000000</v>
      </c>
      <c r="M26" s="157">
        <v>10000000000000</v>
      </c>
      <c r="N26" s="157">
        <v>600000000000</v>
      </c>
      <c r="O26" s="157">
        <v>1800000000000000</v>
      </c>
      <c r="P26" s="156">
        <v>900000000000</v>
      </c>
      <c r="Q26" s="183">
        <v>100</v>
      </c>
      <c r="R26" s="188">
        <v>1000000</v>
      </c>
      <c r="S26" t="e">
        <v>#N/A</v>
      </c>
    </row>
    <row r="27" spans="1:19" ht="15" x14ac:dyDescent="0.25">
      <c r="A27" t="s">
        <v>120</v>
      </c>
      <c r="B27" s="156">
        <v>0.2</v>
      </c>
      <c r="C27" s="156">
        <v>0.2</v>
      </c>
      <c r="D27" s="156">
        <v>100</v>
      </c>
      <c r="E27" s="157">
        <v>2</v>
      </c>
      <c r="F27" s="157">
        <v>2</v>
      </c>
      <c r="G27" s="157">
        <v>6000</v>
      </c>
      <c r="H27" s="158" t="s">
        <v>358</v>
      </c>
      <c r="I27" s="157">
        <v>0.2</v>
      </c>
      <c r="J27" s="181">
        <v>200000000000</v>
      </c>
      <c r="K27" s="159">
        <v>200000000000</v>
      </c>
      <c r="L27" s="159">
        <v>100000000000000</v>
      </c>
      <c r="M27" s="157">
        <v>2000000000000</v>
      </c>
      <c r="N27" s="157">
        <v>2000000000000</v>
      </c>
      <c r="O27" s="157">
        <v>6000000000000000</v>
      </c>
      <c r="P27" s="156">
        <v>200000000000</v>
      </c>
      <c r="Q27" s="183">
        <v>100</v>
      </c>
      <c r="R27" s="188">
        <v>1000000</v>
      </c>
      <c r="S27" t="e">
        <v>#N/A</v>
      </c>
    </row>
    <row r="28" spans="1:19" ht="15" x14ac:dyDescent="0.25">
      <c r="A28" t="s">
        <v>259</v>
      </c>
      <c r="B28" s="156">
        <v>0.2</v>
      </c>
      <c r="C28" s="156">
        <v>0.2</v>
      </c>
      <c r="D28" s="156">
        <v>70</v>
      </c>
      <c r="E28" s="157">
        <v>3</v>
      </c>
      <c r="F28" s="157">
        <v>3</v>
      </c>
      <c r="G28" s="157">
        <v>9000</v>
      </c>
      <c r="H28" s="158" t="s">
        <v>358</v>
      </c>
      <c r="I28" s="157">
        <v>0.2</v>
      </c>
      <c r="J28" s="181">
        <v>200000000000</v>
      </c>
      <c r="K28" s="159">
        <v>200000000000</v>
      </c>
      <c r="L28" s="159">
        <v>70000000000000</v>
      </c>
      <c r="M28" s="157">
        <v>3000000000000</v>
      </c>
      <c r="N28" s="157">
        <v>3000000000000</v>
      </c>
      <c r="O28" s="157">
        <v>9000000000000000</v>
      </c>
      <c r="P28" s="156">
        <v>200000000000</v>
      </c>
      <c r="Q28" s="183">
        <v>100</v>
      </c>
      <c r="R28" s="188">
        <v>1000000</v>
      </c>
      <c r="S28">
        <v>10.7</v>
      </c>
    </row>
    <row r="29" spans="1:19" ht="15" x14ac:dyDescent="0.25">
      <c r="A29" t="s">
        <v>367</v>
      </c>
      <c r="B29" s="156">
        <v>0.3</v>
      </c>
      <c r="C29" s="156">
        <v>0.3</v>
      </c>
      <c r="D29" s="156">
        <v>200</v>
      </c>
      <c r="E29" s="157">
        <v>20</v>
      </c>
      <c r="F29" s="157">
        <v>0.6</v>
      </c>
      <c r="G29" s="157">
        <v>1800</v>
      </c>
      <c r="H29" s="158" t="s">
        <v>358</v>
      </c>
      <c r="I29" s="157">
        <v>0.3</v>
      </c>
      <c r="J29" s="181">
        <v>300000000000</v>
      </c>
      <c r="K29" s="159">
        <v>300000000000</v>
      </c>
      <c r="L29" s="159">
        <v>200000000000000</v>
      </c>
      <c r="M29" s="157">
        <v>20000000000000</v>
      </c>
      <c r="N29" s="157">
        <v>600000000000</v>
      </c>
      <c r="O29" s="157">
        <v>1800000000000000</v>
      </c>
      <c r="P29" s="156">
        <v>300000000000</v>
      </c>
      <c r="Q29" s="183">
        <v>100</v>
      </c>
      <c r="R29" s="188">
        <v>1000000</v>
      </c>
      <c r="S29" t="e">
        <v>#N/A</v>
      </c>
    </row>
    <row r="30" spans="1:19" ht="15" x14ac:dyDescent="0.25">
      <c r="A30" t="s">
        <v>237</v>
      </c>
      <c r="B30" s="156">
        <v>0.03</v>
      </c>
      <c r="C30" s="156">
        <v>0.03</v>
      </c>
      <c r="D30" s="156">
        <v>10</v>
      </c>
      <c r="E30" s="157">
        <v>0.5</v>
      </c>
      <c r="F30" s="157">
        <v>0.3</v>
      </c>
      <c r="G30" s="157">
        <v>900</v>
      </c>
      <c r="H30" s="158" t="s">
        <v>358</v>
      </c>
      <c r="I30" s="157">
        <v>0.03</v>
      </c>
      <c r="J30" s="181">
        <v>30000000000</v>
      </c>
      <c r="K30" s="159">
        <v>30000000000</v>
      </c>
      <c r="L30" s="159">
        <v>10000000000000</v>
      </c>
      <c r="M30" s="157">
        <v>500000000000</v>
      </c>
      <c r="N30" s="157">
        <v>300000000000</v>
      </c>
      <c r="O30" s="157">
        <v>900000000000000</v>
      </c>
      <c r="P30" s="156">
        <v>30000000000</v>
      </c>
      <c r="Q30" s="183">
        <v>10</v>
      </c>
      <c r="R30" s="188">
        <v>100000</v>
      </c>
      <c r="S30">
        <v>3.4770704996577702E-2</v>
      </c>
    </row>
    <row r="31" spans="1:19" ht="15" x14ac:dyDescent="0.25">
      <c r="A31" t="s">
        <v>368</v>
      </c>
      <c r="B31" s="156">
        <v>30</v>
      </c>
      <c r="C31" s="156">
        <v>300</v>
      </c>
      <c r="D31" s="156">
        <v>30</v>
      </c>
      <c r="E31" s="157">
        <v>40</v>
      </c>
      <c r="F31" s="157">
        <v>0.6</v>
      </c>
      <c r="G31" s="157">
        <v>1800</v>
      </c>
      <c r="H31" s="158" t="s">
        <v>358</v>
      </c>
      <c r="I31" s="157">
        <v>30</v>
      </c>
      <c r="J31" s="181">
        <v>30000000000000</v>
      </c>
      <c r="K31" s="159">
        <v>300000000000000</v>
      </c>
      <c r="L31" s="159">
        <v>30000000000000</v>
      </c>
      <c r="M31" s="157">
        <v>40000000000000</v>
      </c>
      <c r="N31" s="157">
        <v>600000000000</v>
      </c>
      <c r="O31" s="157">
        <v>1800000000000000</v>
      </c>
      <c r="P31" s="156">
        <v>30000000000000</v>
      </c>
      <c r="Q31" s="183">
        <v>10000</v>
      </c>
      <c r="R31" s="188">
        <v>1000000</v>
      </c>
      <c r="S31" t="e">
        <v>#N/A</v>
      </c>
    </row>
    <row r="32" spans="1:19" ht="15" x14ac:dyDescent="0.25">
      <c r="A32" t="s">
        <v>8</v>
      </c>
      <c r="B32" s="156">
        <v>1</v>
      </c>
      <c r="C32" s="156">
        <v>1</v>
      </c>
      <c r="D32" s="156">
        <v>1000</v>
      </c>
      <c r="E32" s="157">
        <v>20</v>
      </c>
      <c r="F32" s="157">
        <v>20</v>
      </c>
      <c r="G32" s="157">
        <v>60000</v>
      </c>
      <c r="H32" s="158" t="s">
        <v>358</v>
      </c>
      <c r="I32" s="157">
        <v>1</v>
      </c>
      <c r="J32" s="181">
        <v>1000000000000</v>
      </c>
      <c r="K32" s="159">
        <v>1000000000000</v>
      </c>
      <c r="L32" s="159">
        <v>1000000000000000</v>
      </c>
      <c r="M32" s="157">
        <v>20000000000000</v>
      </c>
      <c r="N32" s="157">
        <v>20000000000000</v>
      </c>
      <c r="O32" s="157">
        <v>6E+16</v>
      </c>
      <c r="P32" s="156">
        <v>1000000000000</v>
      </c>
      <c r="Q32" s="183">
        <v>1000</v>
      </c>
      <c r="R32" s="188">
        <v>10000000</v>
      </c>
      <c r="S32">
        <v>0.145927446954141</v>
      </c>
    </row>
    <row r="33" spans="1:19" ht="15" x14ac:dyDescent="0.25">
      <c r="A33" t="s">
        <v>369</v>
      </c>
      <c r="B33" s="156">
        <v>0.04</v>
      </c>
      <c r="C33" s="156">
        <v>0.04</v>
      </c>
      <c r="D33" s="156">
        <v>70</v>
      </c>
      <c r="E33" s="157">
        <v>0.7</v>
      </c>
      <c r="F33" s="157">
        <v>0.7</v>
      </c>
      <c r="G33" s="157">
        <v>2100</v>
      </c>
      <c r="H33" s="158" t="s">
        <v>358</v>
      </c>
      <c r="I33" s="157">
        <v>0.04</v>
      </c>
      <c r="J33" s="181">
        <v>40000000000</v>
      </c>
      <c r="K33" s="159">
        <v>40000000000</v>
      </c>
      <c r="L33" s="159">
        <v>70000000000000</v>
      </c>
      <c r="M33" s="157">
        <v>700000000000</v>
      </c>
      <c r="N33" s="157">
        <v>700000000000</v>
      </c>
      <c r="O33" s="157">
        <v>2100000000000000</v>
      </c>
      <c r="P33" s="156">
        <v>40000000000</v>
      </c>
      <c r="Q33" s="183">
        <v>10</v>
      </c>
      <c r="R33" s="188">
        <v>1000000</v>
      </c>
      <c r="S33" t="e">
        <v>#N/A</v>
      </c>
    </row>
    <row r="34" spans="1:19" ht="15" x14ac:dyDescent="0.25">
      <c r="A34" t="s">
        <v>170</v>
      </c>
      <c r="B34" s="156">
        <v>0.02</v>
      </c>
      <c r="C34" s="156">
        <v>0.02</v>
      </c>
      <c r="D34" s="156">
        <v>50</v>
      </c>
      <c r="E34" s="157">
        <v>0.3</v>
      </c>
      <c r="F34" s="157">
        <v>0.3</v>
      </c>
      <c r="G34" s="157">
        <v>900</v>
      </c>
      <c r="H34" s="158" t="s">
        <v>358</v>
      </c>
      <c r="I34" s="157">
        <v>0.02</v>
      </c>
      <c r="J34" s="181">
        <v>20000000000</v>
      </c>
      <c r="K34" s="159">
        <v>20000000000</v>
      </c>
      <c r="L34" s="159">
        <v>50000000000000</v>
      </c>
      <c r="M34" s="157">
        <v>300000000000</v>
      </c>
      <c r="N34" s="157">
        <v>300000000000</v>
      </c>
      <c r="O34" s="157">
        <v>900000000000000</v>
      </c>
      <c r="P34" s="156">
        <v>20000000000</v>
      </c>
      <c r="Q34" s="183">
        <v>10</v>
      </c>
      <c r="R34" s="188">
        <v>100000</v>
      </c>
      <c r="S34" t="e">
        <v>#N/A</v>
      </c>
    </row>
    <row r="35" spans="1:19" ht="15" x14ac:dyDescent="0.25">
      <c r="A35" t="s">
        <v>171</v>
      </c>
      <c r="B35" s="156">
        <v>0.05</v>
      </c>
      <c r="C35" s="156">
        <v>0.05</v>
      </c>
      <c r="D35" s="156">
        <v>40</v>
      </c>
      <c r="E35" s="157">
        <v>0.7</v>
      </c>
      <c r="F35" s="157">
        <v>0.7</v>
      </c>
      <c r="G35" s="157">
        <v>2100</v>
      </c>
      <c r="H35" s="158" t="s">
        <v>358</v>
      </c>
      <c r="I35" s="157">
        <v>0.05</v>
      </c>
      <c r="J35" s="181">
        <v>50000000000</v>
      </c>
      <c r="K35" s="159">
        <v>50000000000</v>
      </c>
      <c r="L35" s="159">
        <v>40000000000000</v>
      </c>
      <c r="M35" s="157">
        <v>700000000000</v>
      </c>
      <c r="N35" s="157">
        <v>700000000000</v>
      </c>
      <c r="O35" s="157">
        <v>2100000000000000</v>
      </c>
      <c r="P35" s="156">
        <v>50000000000</v>
      </c>
      <c r="Q35" s="183">
        <v>10</v>
      </c>
      <c r="R35" s="188">
        <v>1000000</v>
      </c>
      <c r="S35">
        <v>32.9</v>
      </c>
    </row>
    <row r="36" spans="1:19" ht="15" x14ac:dyDescent="0.25">
      <c r="A36" t="s">
        <v>172</v>
      </c>
      <c r="B36" s="156">
        <v>8</v>
      </c>
      <c r="C36" s="156">
        <v>50</v>
      </c>
      <c r="D36" s="156">
        <v>8</v>
      </c>
      <c r="E36" s="157">
        <v>1</v>
      </c>
      <c r="F36" s="157">
        <v>0.6</v>
      </c>
      <c r="G36" s="157">
        <v>1800</v>
      </c>
      <c r="H36" s="158" t="s">
        <v>358</v>
      </c>
      <c r="I36" s="157">
        <v>8</v>
      </c>
      <c r="J36" s="181">
        <v>8000000000000</v>
      </c>
      <c r="K36" s="159">
        <v>50000000000000</v>
      </c>
      <c r="L36" s="159">
        <v>8000000000000</v>
      </c>
      <c r="M36" s="157">
        <v>1000000000000</v>
      </c>
      <c r="N36" s="157">
        <v>600000000000</v>
      </c>
      <c r="O36" s="157">
        <v>1800000000000000</v>
      </c>
      <c r="P36" s="156">
        <v>8000000000000</v>
      </c>
      <c r="Q36" s="183">
        <v>1000</v>
      </c>
      <c r="R36" s="188">
        <v>1000000</v>
      </c>
      <c r="S36" t="e">
        <v>#N/A</v>
      </c>
    </row>
    <row r="37" spans="1:19" ht="15" x14ac:dyDescent="0.25">
      <c r="A37" t="s">
        <v>370</v>
      </c>
      <c r="B37" s="156">
        <v>0.3</v>
      </c>
      <c r="C37" s="156">
        <v>0.6</v>
      </c>
      <c r="D37" s="156">
        <v>0.3</v>
      </c>
      <c r="E37" s="157">
        <v>0.6</v>
      </c>
      <c r="F37" s="157">
        <v>0.02</v>
      </c>
      <c r="G37" s="157">
        <v>60</v>
      </c>
      <c r="H37" s="158" t="s">
        <v>358</v>
      </c>
      <c r="I37" s="157">
        <v>0.3</v>
      </c>
      <c r="J37" s="181">
        <v>300000000000</v>
      </c>
      <c r="K37" s="159">
        <v>600000000000</v>
      </c>
      <c r="L37" s="159">
        <v>300000000000</v>
      </c>
      <c r="M37" s="157">
        <v>600000000000</v>
      </c>
      <c r="N37" s="157">
        <v>20000000000</v>
      </c>
      <c r="O37" s="157">
        <v>60000000000000</v>
      </c>
      <c r="P37" s="156">
        <v>300000000000</v>
      </c>
      <c r="Q37" s="183">
        <v>10</v>
      </c>
      <c r="R37" s="188">
        <v>100000</v>
      </c>
      <c r="S37" t="e">
        <v>#N/A</v>
      </c>
    </row>
    <row r="38" spans="1:19" ht="15" x14ac:dyDescent="0.25">
      <c r="A38" t="s">
        <v>241</v>
      </c>
      <c r="B38" s="156">
        <v>0.05</v>
      </c>
      <c r="C38" s="156">
        <v>0.05</v>
      </c>
      <c r="D38" s="156">
        <v>10</v>
      </c>
      <c r="E38" s="157">
        <v>0.7</v>
      </c>
      <c r="F38" s="157">
        <v>0.6</v>
      </c>
      <c r="G38" s="157">
        <v>1800</v>
      </c>
      <c r="H38" s="158" t="s">
        <v>358</v>
      </c>
      <c r="I38" s="157">
        <v>0.05</v>
      </c>
      <c r="J38" s="181">
        <v>50000000000</v>
      </c>
      <c r="K38" s="159">
        <v>50000000000</v>
      </c>
      <c r="L38" s="159">
        <v>10000000000000</v>
      </c>
      <c r="M38" s="157">
        <v>700000000000</v>
      </c>
      <c r="N38" s="157">
        <v>600000000000</v>
      </c>
      <c r="O38" s="157">
        <v>1800000000000000</v>
      </c>
      <c r="P38" s="156">
        <v>50000000000</v>
      </c>
      <c r="Q38" s="183">
        <v>10</v>
      </c>
      <c r="R38" s="188">
        <v>100000</v>
      </c>
      <c r="S38">
        <v>1.15E-4</v>
      </c>
    </row>
    <row r="39" spans="1:19" ht="15" x14ac:dyDescent="0.25">
      <c r="A39" t="s">
        <v>472</v>
      </c>
      <c r="B39" s="156"/>
      <c r="C39" s="156"/>
      <c r="D39" s="156"/>
      <c r="E39" s="157"/>
      <c r="F39" s="157"/>
      <c r="G39" s="157"/>
      <c r="H39" s="158"/>
      <c r="I39" s="157"/>
      <c r="J39" s="181"/>
      <c r="K39" s="159"/>
      <c r="L39" s="159"/>
      <c r="M39" s="157"/>
      <c r="N39" s="157"/>
      <c r="O39" s="157"/>
      <c r="P39" s="156"/>
      <c r="Q39" s="183">
        <v>100</v>
      </c>
      <c r="R39" s="188">
        <v>1000000</v>
      </c>
      <c r="S39">
        <v>8.7499999999999999E-5</v>
      </c>
    </row>
    <row r="40" spans="1:19" ht="15" x14ac:dyDescent="0.25">
      <c r="A40" t="s">
        <v>473</v>
      </c>
      <c r="B40" s="156"/>
      <c r="C40" s="156"/>
      <c r="D40" s="156"/>
      <c r="E40" s="157"/>
      <c r="F40" s="157"/>
      <c r="G40" s="157"/>
      <c r="H40" s="158"/>
      <c r="I40" s="157"/>
      <c r="J40" s="181"/>
      <c r="K40" s="159"/>
      <c r="L40" s="159"/>
      <c r="M40" s="157"/>
      <c r="N40" s="157"/>
      <c r="O40" s="157"/>
      <c r="P40" s="156"/>
      <c r="Q40" s="183">
        <v>10</v>
      </c>
      <c r="R40" s="188">
        <v>100000</v>
      </c>
      <c r="S40">
        <v>9.1299999999999997E-4</v>
      </c>
    </row>
    <row r="41" spans="1:19" ht="15" x14ac:dyDescent="0.25">
      <c r="A41" t="s">
        <v>371</v>
      </c>
      <c r="B41" s="156">
        <v>0.08</v>
      </c>
      <c r="C41" s="156">
        <v>0.08</v>
      </c>
      <c r="D41" s="156">
        <v>0.08</v>
      </c>
      <c r="E41" s="157">
        <v>8</v>
      </c>
      <c r="F41" s="157">
        <v>8.0000000000000004E-4</v>
      </c>
      <c r="G41" s="157">
        <v>2.4</v>
      </c>
      <c r="H41" s="158" t="s">
        <v>358</v>
      </c>
      <c r="I41" s="157">
        <v>0.08</v>
      </c>
      <c r="J41" s="181">
        <v>80000000000</v>
      </c>
      <c r="K41" s="159">
        <v>80000000000</v>
      </c>
      <c r="L41" s="159">
        <v>80000000000</v>
      </c>
      <c r="M41" s="157">
        <v>8000000000000</v>
      </c>
      <c r="N41" s="157">
        <v>800000000</v>
      </c>
      <c r="O41" s="157">
        <v>2400000000000</v>
      </c>
      <c r="P41" s="156">
        <v>80000000000</v>
      </c>
      <c r="Q41" s="183">
        <v>1</v>
      </c>
      <c r="R41" s="188">
        <v>10000</v>
      </c>
      <c r="S41" t="e">
        <v>#N/A</v>
      </c>
    </row>
    <row r="42" spans="1:19" ht="15" x14ac:dyDescent="0.25">
      <c r="A42" t="s">
        <v>203</v>
      </c>
      <c r="B42" s="156">
        <v>10</v>
      </c>
      <c r="C42" s="156">
        <v>10</v>
      </c>
      <c r="D42" s="156">
        <v>10</v>
      </c>
      <c r="E42" s="157">
        <v>40</v>
      </c>
      <c r="F42" s="157">
        <v>0.3</v>
      </c>
      <c r="G42" s="157">
        <v>900</v>
      </c>
      <c r="H42" s="158" t="s">
        <v>358</v>
      </c>
      <c r="I42" s="157">
        <v>10</v>
      </c>
      <c r="J42" s="181">
        <v>10000000000000</v>
      </c>
      <c r="K42" s="159">
        <v>10000000000000</v>
      </c>
      <c r="L42" s="159">
        <v>10000000000000</v>
      </c>
      <c r="M42" s="157">
        <v>40000000000000</v>
      </c>
      <c r="N42" s="157">
        <v>300000000000</v>
      </c>
      <c r="O42" s="157">
        <v>900000000000000</v>
      </c>
      <c r="P42" s="156">
        <v>10000000000000</v>
      </c>
      <c r="Q42" s="183">
        <v>1000</v>
      </c>
      <c r="R42" s="188">
        <v>1000000</v>
      </c>
      <c r="S42" t="e">
        <v>#N/A</v>
      </c>
    </row>
    <row r="43" spans="1:19" ht="15" x14ac:dyDescent="0.25">
      <c r="A43" t="s">
        <v>372</v>
      </c>
      <c r="B43" s="156">
        <v>0.03</v>
      </c>
      <c r="C43" s="156">
        <v>0.03</v>
      </c>
      <c r="D43" s="156">
        <v>200</v>
      </c>
      <c r="E43" s="157">
        <v>0.4</v>
      </c>
      <c r="F43" s="157">
        <v>0.4</v>
      </c>
      <c r="G43" s="157">
        <v>1200</v>
      </c>
      <c r="H43" s="158" t="s">
        <v>358</v>
      </c>
      <c r="I43" s="157">
        <v>0.03</v>
      </c>
      <c r="J43" s="181">
        <v>30000000000</v>
      </c>
      <c r="K43" s="159">
        <v>30000000000</v>
      </c>
      <c r="L43" s="159">
        <v>200000000000000</v>
      </c>
      <c r="M43" s="157">
        <v>400000000000</v>
      </c>
      <c r="N43" s="157">
        <v>400000000000</v>
      </c>
      <c r="O43" s="157">
        <v>1200000000000000</v>
      </c>
      <c r="P43" s="156">
        <v>30000000000</v>
      </c>
      <c r="Q43" s="183">
        <v>10</v>
      </c>
      <c r="R43" s="188">
        <v>100000</v>
      </c>
      <c r="S43" t="e">
        <v>#N/A</v>
      </c>
    </row>
    <row r="44" spans="1:19" ht="15" x14ac:dyDescent="0.25">
      <c r="A44" t="s">
        <v>373</v>
      </c>
      <c r="B44" s="156">
        <v>0.2</v>
      </c>
      <c r="C44" s="156">
        <v>0.2</v>
      </c>
      <c r="D44" s="156">
        <v>700</v>
      </c>
      <c r="E44" s="157">
        <v>3</v>
      </c>
      <c r="F44" s="157">
        <v>3</v>
      </c>
      <c r="G44" s="157">
        <v>9000</v>
      </c>
      <c r="H44" s="158" t="s">
        <v>358</v>
      </c>
      <c r="I44" s="157">
        <v>0.2</v>
      </c>
      <c r="J44" s="181">
        <v>200000000000</v>
      </c>
      <c r="K44" s="159">
        <v>200000000000</v>
      </c>
      <c r="L44" s="159">
        <v>700000000000000</v>
      </c>
      <c r="M44" s="157">
        <v>3000000000000</v>
      </c>
      <c r="N44" s="157">
        <v>3000000000000</v>
      </c>
      <c r="O44" s="157">
        <v>9000000000000000</v>
      </c>
      <c r="P44" s="156">
        <v>200000000000</v>
      </c>
      <c r="Q44" s="183">
        <v>100</v>
      </c>
      <c r="R44" s="188">
        <v>1000000</v>
      </c>
      <c r="S44" t="e">
        <v>#N/A</v>
      </c>
    </row>
    <row r="45" spans="1:19" ht="15" x14ac:dyDescent="0.25">
      <c r="A45" t="s">
        <v>54</v>
      </c>
      <c r="B45" s="156">
        <v>0.03</v>
      </c>
      <c r="C45" s="156">
        <v>0.03</v>
      </c>
      <c r="D45" s="156">
        <v>70</v>
      </c>
      <c r="E45" s="157">
        <v>0.4</v>
      </c>
      <c r="F45" s="157">
        <v>0.4</v>
      </c>
      <c r="G45" s="157">
        <v>1200</v>
      </c>
      <c r="H45" s="158" t="s">
        <v>358</v>
      </c>
      <c r="I45" s="157">
        <v>0.03</v>
      </c>
      <c r="J45" s="181">
        <v>30000000000</v>
      </c>
      <c r="K45" s="159">
        <v>30000000000</v>
      </c>
      <c r="L45" s="159">
        <v>70000000000000</v>
      </c>
      <c r="M45" s="157">
        <v>400000000000</v>
      </c>
      <c r="N45" s="157">
        <v>400000000000</v>
      </c>
      <c r="O45" s="157">
        <v>1200000000000000</v>
      </c>
      <c r="P45" s="156">
        <v>30000000000</v>
      </c>
      <c r="Q45" s="183">
        <v>10</v>
      </c>
      <c r="R45" s="188">
        <v>1000000</v>
      </c>
      <c r="S45">
        <v>4.0246406570841999E-3</v>
      </c>
    </row>
    <row r="46" spans="1:19" ht="15" x14ac:dyDescent="0.25">
      <c r="A46" t="s">
        <v>374</v>
      </c>
      <c r="B46" s="156">
        <v>0.06</v>
      </c>
      <c r="C46" s="156">
        <v>0.06</v>
      </c>
      <c r="D46" s="156">
        <v>400</v>
      </c>
      <c r="E46" s="157">
        <v>1</v>
      </c>
      <c r="F46" s="157">
        <v>0.6</v>
      </c>
      <c r="G46" s="157">
        <v>1800</v>
      </c>
      <c r="H46" s="158" t="s">
        <v>358</v>
      </c>
      <c r="I46" s="157">
        <v>0.06</v>
      </c>
      <c r="J46" s="181">
        <v>60000000000</v>
      </c>
      <c r="K46" s="159">
        <v>60000000000</v>
      </c>
      <c r="L46" s="159">
        <v>400000000000000</v>
      </c>
      <c r="M46" s="157">
        <v>1000000000000</v>
      </c>
      <c r="N46" s="157">
        <v>600000000000</v>
      </c>
      <c r="O46" s="157">
        <v>1800000000000000</v>
      </c>
      <c r="P46" s="156">
        <v>60000000000</v>
      </c>
      <c r="Q46" s="183">
        <v>10</v>
      </c>
      <c r="R46" s="188">
        <v>1000000</v>
      </c>
      <c r="S46" t="e">
        <v>#N/A</v>
      </c>
    </row>
    <row r="47" spans="1:19" ht="15" x14ac:dyDescent="0.25">
      <c r="A47" t="s">
        <v>9</v>
      </c>
      <c r="B47" s="156">
        <v>50</v>
      </c>
      <c r="C47" s="156">
        <v>200000</v>
      </c>
      <c r="D47" s="156">
        <v>50</v>
      </c>
      <c r="E47" s="157">
        <v>40</v>
      </c>
      <c r="F47" s="157">
        <v>3</v>
      </c>
      <c r="G47" s="157">
        <v>9000</v>
      </c>
      <c r="H47" s="158" t="s">
        <v>358</v>
      </c>
      <c r="I47" s="157">
        <v>50</v>
      </c>
      <c r="J47" s="181">
        <v>50000000000000</v>
      </c>
      <c r="K47" s="159">
        <v>2E+17</v>
      </c>
      <c r="L47" s="159">
        <v>50000000000000</v>
      </c>
      <c r="M47" s="157">
        <v>40000000000000</v>
      </c>
      <c r="N47" s="157">
        <v>3000000000000</v>
      </c>
      <c r="O47" s="157">
        <v>9000000000000000</v>
      </c>
      <c r="P47" s="156">
        <v>50000000000000</v>
      </c>
      <c r="Q47" s="183">
        <v>10000</v>
      </c>
      <c r="R47" s="188">
        <v>10000000</v>
      </c>
      <c r="S47">
        <v>5730</v>
      </c>
    </row>
    <row r="48" spans="1:19" ht="15" x14ac:dyDescent="0.25">
      <c r="A48" t="s">
        <v>375</v>
      </c>
      <c r="B48" s="156" t="s">
        <v>362</v>
      </c>
      <c r="C48" s="156" t="s">
        <v>362</v>
      </c>
      <c r="D48" s="156" t="s">
        <v>362</v>
      </c>
      <c r="E48" s="157" t="s">
        <v>362</v>
      </c>
      <c r="F48" s="157" t="s">
        <v>362</v>
      </c>
      <c r="G48" s="157" t="s">
        <v>362</v>
      </c>
      <c r="H48" s="161" t="s">
        <v>362</v>
      </c>
      <c r="I48" s="157" t="s">
        <v>362</v>
      </c>
      <c r="J48" s="181" t="s">
        <v>362</v>
      </c>
      <c r="K48" s="159" t="s">
        <v>362</v>
      </c>
      <c r="L48" s="159" t="s">
        <v>362</v>
      </c>
      <c r="M48" s="157" t="s">
        <v>362</v>
      </c>
      <c r="N48" s="157" t="s">
        <v>362</v>
      </c>
      <c r="O48" s="157" t="s">
        <v>362</v>
      </c>
      <c r="P48" s="164" t="s">
        <v>362</v>
      </c>
      <c r="Q48" s="183">
        <v>100000</v>
      </c>
      <c r="R48" s="188">
        <v>10000000</v>
      </c>
      <c r="S48" t="e">
        <v>#N/A</v>
      </c>
    </row>
    <row r="49" spans="1:19" ht="15" x14ac:dyDescent="0.25">
      <c r="A49" t="s">
        <v>21</v>
      </c>
      <c r="B49" s="156">
        <v>100</v>
      </c>
      <c r="C49" s="156">
        <v>6000</v>
      </c>
      <c r="D49" s="156">
        <v>100</v>
      </c>
      <c r="E49" s="157">
        <v>40</v>
      </c>
      <c r="F49" s="157">
        <v>1</v>
      </c>
      <c r="G49" s="157">
        <v>3000</v>
      </c>
      <c r="H49" s="158" t="s">
        <v>358</v>
      </c>
      <c r="I49" s="157">
        <v>100</v>
      </c>
      <c r="J49" s="181">
        <v>100000000000000</v>
      </c>
      <c r="K49" s="159">
        <v>6000000000000000</v>
      </c>
      <c r="L49" s="159">
        <v>100000000000000</v>
      </c>
      <c r="M49" s="157">
        <v>40000000000000</v>
      </c>
      <c r="N49" s="157">
        <v>1000000000000</v>
      </c>
      <c r="O49" s="157">
        <v>3000000000000000</v>
      </c>
      <c r="P49" s="156">
        <v>100000000000000</v>
      </c>
      <c r="Q49" s="183">
        <v>10000</v>
      </c>
      <c r="R49" s="188">
        <v>10000000</v>
      </c>
      <c r="S49">
        <v>0.446269678302532</v>
      </c>
    </row>
    <row r="50" spans="1:19" ht="15" x14ac:dyDescent="0.25">
      <c r="A50" t="s">
        <v>22</v>
      </c>
      <c r="B50" s="156">
        <v>0.06</v>
      </c>
      <c r="C50" s="156">
        <v>0.06</v>
      </c>
      <c r="D50" s="156">
        <v>10</v>
      </c>
      <c r="E50" s="157">
        <v>3</v>
      </c>
      <c r="F50" s="157">
        <v>0.3</v>
      </c>
      <c r="G50" s="157">
        <v>900</v>
      </c>
      <c r="H50" s="158" t="s">
        <v>358</v>
      </c>
      <c r="I50" s="157">
        <v>0.06</v>
      </c>
      <c r="J50" s="181">
        <v>60000000000</v>
      </c>
      <c r="K50" s="159">
        <v>60000000000</v>
      </c>
      <c r="L50" s="159">
        <v>10000000000000</v>
      </c>
      <c r="M50" s="157">
        <v>3000000000000</v>
      </c>
      <c r="N50" s="157">
        <v>300000000000</v>
      </c>
      <c r="O50" s="157">
        <v>900000000000000</v>
      </c>
      <c r="P50" s="156">
        <v>60000000000</v>
      </c>
      <c r="Q50" s="183">
        <v>10</v>
      </c>
      <c r="R50" s="188">
        <v>1000000</v>
      </c>
      <c r="S50">
        <v>1.2402464065708401E-2</v>
      </c>
    </row>
    <row r="51" spans="1:19" ht="15" x14ac:dyDescent="0.25">
      <c r="A51" t="s">
        <v>94</v>
      </c>
      <c r="B51" s="156">
        <v>20</v>
      </c>
      <c r="C51" s="156">
        <v>20</v>
      </c>
      <c r="D51" s="156">
        <v>30</v>
      </c>
      <c r="E51" s="157">
        <v>30</v>
      </c>
      <c r="F51" s="157">
        <v>2</v>
      </c>
      <c r="G51" s="160">
        <v>200</v>
      </c>
      <c r="H51" s="158" t="s">
        <v>361</v>
      </c>
      <c r="I51" s="157">
        <v>20</v>
      </c>
      <c r="J51" s="181">
        <v>20000000000000</v>
      </c>
      <c r="K51" s="159">
        <v>20000000000000</v>
      </c>
      <c r="L51" s="159">
        <v>30000000000000</v>
      </c>
      <c r="M51" s="157">
        <v>30000000000000</v>
      </c>
      <c r="N51" s="157">
        <v>2000000000000</v>
      </c>
      <c r="O51" s="157">
        <v>200000000000000</v>
      </c>
      <c r="P51" s="156">
        <v>20000000000000</v>
      </c>
      <c r="Q51" s="183">
        <v>10000</v>
      </c>
      <c r="R51" s="188">
        <v>1000000</v>
      </c>
      <c r="S51">
        <v>1.27</v>
      </c>
    </row>
    <row r="52" spans="1:19" ht="15" x14ac:dyDescent="0.25">
      <c r="A52" t="s">
        <v>376</v>
      </c>
      <c r="B52" s="156">
        <v>40</v>
      </c>
      <c r="C52" s="156">
        <v>400</v>
      </c>
      <c r="D52" s="156">
        <v>40</v>
      </c>
      <c r="E52" s="157">
        <v>40</v>
      </c>
      <c r="F52" s="157">
        <v>0.5</v>
      </c>
      <c r="G52" s="157">
        <v>1500</v>
      </c>
      <c r="H52" s="158" t="s">
        <v>358</v>
      </c>
      <c r="I52" s="157">
        <v>40</v>
      </c>
      <c r="J52" s="181">
        <v>40000000000000</v>
      </c>
      <c r="K52" s="159">
        <v>400000000000000</v>
      </c>
      <c r="L52" s="159">
        <v>40000000000000</v>
      </c>
      <c r="M52" s="157">
        <v>40000000000000</v>
      </c>
      <c r="N52" s="157">
        <v>500000000000</v>
      </c>
      <c r="O52" s="157">
        <v>1500000000000000</v>
      </c>
      <c r="P52" s="156">
        <v>40000000000000</v>
      </c>
      <c r="Q52" s="183">
        <v>1000</v>
      </c>
      <c r="R52" s="188">
        <v>1000000</v>
      </c>
      <c r="S52" t="e">
        <v>#N/A</v>
      </c>
    </row>
    <row r="53" spans="1:19" ht="15" x14ac:dyDescent="0.25">
      <c r="A53" t="s">
        <v>95</v>
      </c>
      <c r="B53" s="156">
        <v>0.2</v>
      </c>
      <c r="C53" s="156">
        <v>0.2</v>
      </c>
      <c r="D53" s="156">
        <v>20</v>
      </c>
      <c r="E53" s="157">
        <v>3</v>
      </c>
      <c r="F53" s="157">
        <v>0.4</v>
      </c>
      <c r="G53" s="157">
        <v>1200</v>
      </c>
      <c r="H53" s="158" t="s">
        <v>358</v>
      </c>
      <c r="I53" s="157">
        <v>0.2</v>
      </c>
      <c r="J53" s="181">
        <v>200000000000</v>
      </c>
      <c r="K53" s="159">
        <v>200000000000</v>
      </c>
      <c r="L53" s="159">
        <v>20000000000000</v>
      </c>
      <c r="M53" s="157">
        <v>3000000000000</v>
      </c>
      <c r="N53" s="157">
        <v>400000000000</v>
      </c>
      <c r="O53" s="157">
        <v>1200000000000000</v>
      </c>
      <c r="P53" s="156">
        <v>200000000000</v>
      </c>
      <c r="Q53" s="183">
        <v>100</v>
      </c>
      <c r="R53" s="188">
        <v>1000000</v>
      </c>
      <c r="S53">
        <v>6.1054072553045997E-3</v>
      </c>
    </row>
    <row r="54" spans="1:19" ht="15" x14ac:dyDescent="0.25">
      <c r="A54" t="s">
        <v>96</v>
      </c>
      <c r="B54" s="156">
        <v>3</v>
      </c>
      <c r="C54" s="156">
        <v>3</v>
      </c>
      <c r="D54" s="156">
        <v>20</v>
      </c>
      <c r="E54" s="157">
        <v>0.5</v>
      </c>
      <c r="F54" s="157">
        <v>0.5</v>
      </c>
      <c r="G54" s="157">
        <v>1500</v>
      </c>
      <c r="H54" s="158" t="s">
        <v>358</v>
      </c>
      <c r="I54" s="157">
        <v>3</v>
      </c>
      <c r="J54" s="181">
        <v>3000000000000</v>
      </c>
      <c r="K54" s="159">
        <v>3000000000000</v>
      </c>
      <c r="L54" s="159">
        <v>20000000000000</v>
      </c>
      <c r="M54" s="157">
        <v>500000000000</v>
      </c>
      <c r="N54" s="157">
        <v>500000000000</v>
      </c>
      <c r="O54" s="157">
        <v>1500000000000000</v>
      </c>
      <c r="P54" s="156">
        <v>3000000000000</v>
      </c>
      <c r="Q54" s="183">
        <v>1000</v>
      </c>
      <c r="R54" s="188">
        <v>1000000</v>
      </c>
      <c r="S54">
        <v>0.122108145106091</v>
      </c>
    </row>
    <row r="55" spans="1:19" ht="15" x14ac:dyDescent="0.25">
      <c r="A55" t="s">
        <v>122</v>
      </c>
      <c r="B55" s="156">
        <v>0.6</v>
      </c>
      <c r="C55" s="156">
        <v>0.6</v>
      </c>
      <c r="D55" s="156">
        <v>200</v>
      </c>
      <c r="E55" s="157">
        <v>7</v>
      </c>
      <c r="F55" s="157">
        <v>2</v>
      </c>
      <c r="G55" s="157">
        <v>6000</v>
      </c>
      <c r="H55" s="158" t="s">
        <v>358</v>
      </c>
      <c r="I55" s="157">
        <v>0.6</v>
      </c>
      <c r="J55" s="181">
        <v>600000000000</v>
      </c>
      <c r="K55" s="159">
        <v>600000000000</v>
      </c>
      <c r="L55" s="159">
        <v>200000000000000</v>
      </c>
      <c r="M55" s="157">
        <v>7000000000000</v>
      </c>
      <c r="N55" s="157">
        <v>2000000000000</v>
      </c>
      <c r="O55" s="157">
        <v>6000000000000000</v>
      </c>
      <c r="P55" s="156">
        <v>600000000000</v>
      </c>
      <c r="Q55" s="183">
        <v>100</v>
      </c>
      <c r="R55" s="188">
        <v>1000000</v>
      </c>
      <c r="S55">
        <v>0.37657000000000002</v>
      </c>
    </row>
    <row r="56" spans="1:19" ht="15" x14ac:dyDescent="0.25">
      <c r="A56" t="s">
        <v>123</v>
      </c>
      <c r="B56" s="156">
        <v>1</v>
      </c>
      <c r="C56" s="156">
        <v>1</v>
      </c>
      <c r="D56" s="156">
        <v>20</v>
      </c>
      <c r="E56" s="157">
        <v>20</v>
      </c>
      <c r="F56" s="157">
        <v>0.6</v>
      </c>
      <c r="G56" s="157">
        <v>1800</v>
      </c>
      <c r="H56" s="158" t="s">
        <v>358</v>
      </c>
      <c r="I56" s="157">
        <v>1</v>
      </c>
      <c r="J56" s="181">
        <v>1000000000000</v>
      </c>
      <c r="K56" s="159">
        <v>1000000000000</v>
      </c>
      <c r="L56" s="159">
        <v>20000000000000</v>
      </c>
      <c r="M56" s="157">
        <v>20000000000000</v>
      </c>
      <c r="N56" s="157">
        <v>600000000000</v>
      </c>
      <c r="O56" s="157">
        <v>1800000000000000</v>
      </c>
      <c r="P56" s="156">
        <v>1000000000000</v>
      </c>
      <c r="Q56" s="183">
        <v>100</v>
      </c>
      <c r="R56" s="188">
        <v>10000000</v>
      </c>
      <c r="S56">
        <v>8.8980150581793302E-2</v>
      </c>
    </row>
    <row r="57" spans="1:19" ht="15" x14ac:dyDescent="0.25">
      <c r="A57" t="s">
        <v>124</v>
      </c>
      <c r="B57" s="156">
        <v>0.3</v>
      </c>
      <c r="C57" s="156">
        <v>0.3</v>
      </c>
      <c r="D57" s="156">
        <v>10</v>
      </c>
      <c r="E57" s="157">
        <v>0.9</v>
      </c>
      <c r="F57" s="157">
        <v>0.6</v>
      </c>
      <c r="G57" s="157">
        <v>1800</v>
      </c>
      <c r="H57" s="158" t="s">
        <v>358</v>
      </c>
      <c r="I57" s="157">
        <v>0.3</v>
      </c>
      <c r="J57" s="181">
        <v>300000000000</v>
      </c>
      <c r="K57" s="159">
        <v>300000000000</v>
      </c>
      <c r="L57" s="159">
        <v>10000000000000</v>
      </c>
      <c r="M57" s="157">
        <v>900000000000</v>
      </c>
      <c r="N57" s="157">
        <v>600000000000</v>
      </c>
      <c r="O57" s="157">
        <v>1800000000000000</v>
      </c>
      <c r="P57" s="156">
        <v>300000000000</v>
      </c>
      <c r="Q57" s="183">
        <v>100</v>
      </c>
      <c r="R57" s="188">
        <v>1000000</v>
      </c>
      <c r="S57">
        <v>3.7782340862422999E-3</v>
      </c>
    </row>
    <row r="58" spans="1:19" ht="15" x14ac:dyDescent="0.25">
      <c r="A58" t="s">
        <v>238</v>
      </c>
      <c r="B58" s="156">
        <v>0.9</v>
      </c>
      <c r="C58" s="156">
        <v>0.9</v>
      </c>
      <c r="D58" s="156">
        <v>9</v>
      </c>
      <c r="E58" s="157">
        <v>0.2</v>
      </c>
      <c r="F58" s="157">
        <v>0.2</v>
      </c>
      <c r="G58" s="157">
        <v>600</v>
      </c>
      <c r="H58" s="158" t="s">
        <v>358</v>
      </c>
      <c r="I58" s="157">
        <v>0.9</v>
      </c>
      <c r="J58" s="181">
        <v>900000000000</v>
      </c>
      <c r="K58" s="159">
        <v>900000000000</v>
      </c>
      <c r="L58" s="159">
        <v>9000000000000</v>
      </c>
      <c r="M58" s="157">
        <v>200000000000</v>
      </c>
      <c r="N58" s="157">
        <v>200000000000</v>
      </c>
      <c r="O58" s="157">
        <v>600000000000000</v>
      </c>
      <c r="P58" s="156">
        <v>900000000000</v>
      </c>
      <c r="Q58" s="183">
        <v>100</v>
      </c>
      <c r="R58" s="188">
        <v>100000</v>
      </c>
      <c r="S58">
        <v>0.77754962354551604</v>
      </c>
    </row>
    <row r="59" spans="1:19" ht="15" x14ac:dyDescent="0.25">
      <c r="A59" t="s">
        <v>204</v>
      </c>
      <c r="B59" s="156">
        <v>0.1</v>
      </c>
      <c r="C59" s="156">
        <v>0.1</v>
      </c>
      <c r="D59" s="156">
        <v>0.1</v>
      </c>
      <c r="E59" s="157">
        <v>40</v>
      </c>
      <c r="F59" s="157">
        <v>6.0000000000000001E-3</v>
      </c>
      <c r="G59" s="157">
        <v>18</v>
      </c>
      <c r="H59" s="158" t="s">
        <v>358</v>
      </c>
      <c r="I59" s="157">
        <v>0.1</v>
      </c>
      <c r="J59" s="181">
        <v>100000000000</v>
      </c>
      <c r="K59" s="159">
        <v>100000000000</v>
      </c>
      <c r="L59" s="159">
        <v>100000000000</v>
      </c>
      <c r="M59" s="157">
        <v>40000000000000</v>
      </c>
      <c r="N59" s="157">
        <v>6000000000</v>
      </c>
      <c r="O59" s="157">
        <v>18000000000000</v>
      </c>
      <c r="P59" s="156">
        <v>100000000000</v>
      </c>
      <c r="Q59" s="183">
        <v>10</v>
      </c>
      <c r="R59" s="188">
        <v>10000</v>
      </c>
      <c r="S59" t="e">
        <v>#N/A</v>
      </c>
    </row>
    <row r="60" spans="1:19" ht="15" x14ac:dyDescent="0.25">
      <c r="A60" t="s">
        <v>205</v>
      </c>
      <c r="B60" s="156">
        <v>0.1</v>
      </c>
      <c r="C60" s="156">
        <v>0.1</v>
      </c>
      <c r="D60" s="156">
        <v>0.1</v>
      </c>
      <c r="E60" s="157">
        <v>3</v>
      </c>
      <c r="F60" s="157">
        <v>8.0000000000000004E-4</v>
      </c>
      <c r="G60" s="157">
        <v>2.4</v>
      </c>
      <c r="H60" s="158" t="s">
        <v>358</v>
      </c>
      <c r="I60" s="157">
        <v>0.1</v>
      </c>
      <c r="J60" s="181">
        <v>100000000000</v>
      </c>
      <c r="K60" s="159">
        <v>100000000000</v>
      </c>
      <c r="L60" s="159">
        <v>100000000000</v>
      </c>
      <c r="M60" s="157">
        <v>3000000000000</v>
      </c>
      <c r="N60" s="157">
        <v>800000000</v>
      </c>
      <c r="O60" s="157">
        <v>2400000000000</v>
      </c>
      <c r="P60" s="156">
        <v>100000000000</v>
      </c>
      <c r="Q60" s="183">
        <v>1</v>
      </c>
      <c r="R60" s="188">
        <v>1000</v>
      </c>
      <c r="S60" t="e">
        <v>#N/A</v>
      </c>
    </row>
    <row r="61" spans="1:19" ht="15" x14ac:dyDescent="0.25">
      <c r="A61" t="s">
        <v>206</v>
      </c>
      <c r="B61" s="156">
        <v>0.1</v>
      </c>
      <c r="C61" s="156">
        <v>0.1</v>
      </c>
      <c r="D61" s="156">
        <v>0.1</v>
      </c>
      <c r="E61" s="157">
        <v>20</v>
      </c>
      <c r="F61" s="157">
        <v>2E-3</v>
      </c>
      <c r="G61" s="157">
        <v>6</v>
      </c>
      <c r="H61" s="158" t="s">
        <v>358</v>
      </c>
      <c r="I61" s="157">
        <v>0.1</v>
      </c>
      <c r="J61" s="181">
        <v>100000000000</v>
      </c>
      <c r="K61" s="159">
        <v>100000000000</v>
      </c>
      <c r="L61" s="159">
        <v>100000000000</v>
      </c>
      <c r="M61" s="157">
        <v>20000000000000</v>
      </c>
      <c r="N61" s="157">
        <v>2000000000</v>
      </c>
      <c r="O61" s="157">
        <v>6000000000000</v>
      </c>
      <c r="P61" s="156">
        <v>100000000000</v>
      </c>
      <c r="Q61" s="183">
        <v>10</v>
      </c>
      <c r="R61" s="188">
        <v>10000</v>
      </c>
      <c r="S61" t="e">
        <v>#N/A</v>
      </c>
    </row>
    <row r="62" spans="1:19" ht="15" x14ac:dyDescent="0.25">
      <c r="A62" t="s">
        <v>207</v>
      </c>
      <c r="B62" s="156">
        <v>0.1</v>
      </c>
      <c r="C62" s="156">
        <v>0.1</v>
      </c>
      <c r="D62" s="156">
        <v>0.1</v>
      </c>
      <c r="E62" s="157">
        <v>7</v>
      </c>
      <c r="F62" s="157">
        <v>6.9999999999999999E-4</v>
      </c>
      <c r="G62" s="157">
        <v>2.1</v>
      </c>
      <c r="H62" s="158" t="s">
        <v>358</v>
      </c>
      <c r="I62" s="157">
        <v>0.1</v>
      </c>
      <c r="J62" s="181">
        <v>100000000000</v>
      </c>
      <c r="K62" s="159">
        <v>100000000000</v>
      </c>
      <c r="L62" s="159">
        <v>100000000000</v>
      </c>
      <c r="M62" s="157">
        <v>7000000000000</v>
      </c>
      <c r="N62" s="157">
        <v>700000000</v>
      </c>
      <c r="O62" s="157">
        <v>2100000000000</v>
      </c>
      <c r="P62" s="156">
        <v>100000000000</v>
      </c>
      <c r="Q62" s="183">
        <v>1</v>
      </c>
      <c r="R62" s="188">
        <v>1000</v>
      </c>
      <c r="S62" t="e">
        <v>#N/A</v>
      </c>
    </row>
    <row r="63" spans="1:19" ht="15" x14ac:dyDescent="0.25">
      <c r="A63" t="s">
        <v>1</v>
      </c>
      <c r="B63" s="156">
        <v>0.02</v>
      </c>
      <c r="C63" s="156">
        <v>0.02</v>
      </c>
      <c r="D63" s="156">
        <v>0.1</v>
      </c>
      <c r="E63" s="157">
        <v>0.1</v>
      </c>
      <c r="F63" s="157">
        <v>3.0000000000000001E-3</v>
      </c>
      <c r="G63" s="160">
        <v>0.2</v>
      </c>
      <c r="H63" s="158" t="s">
        <v>361</v>
      </c>
      <c r="I63" s="163">
        <v>0.02</v>
      </c>
      <c r="J63" s="181">
        <v>20000000000</v>
      </c>
      <c r="K63" s="159">
        <v>20000000000</v>
      </c>
      <c r="L63" s="159">
        <v>20000000000</v>
      </c>
      <c r="M63" s="157">
        <v>100000000000</v>
      </c>
      <c r="N63" s="157">
        <v>3000000000</v>
      </c>
      <c r="O63" s="157">
        <v>200000000000</v>
      </c>
      <c r="P63" s="156">
        <v>20000000000</v>
      </c>
      <c r="Q63" s="183">
        <v>10</v>
      </c>
      <c r="R63" s="188">
        <v>10000</v>
      </c>
      <c r="S63">
        <v>2.64</v>
      </c>
    </row>
    <row r="64" spans="1:19" ht="15" x14ac:dyDescent="0.25">
      <c r="A64" t="s">
        <v>208</v>
      </c>
      <c r="B64" s="156">
        <v>0.4</v>
      </c>
      <c r="C64" s="156">
        <v>0.4</v>
      </c>
      <c r="D64" s="156">
        <v>0.4</v>
      </c>
      <c r="E64" s="157">
        <v>40</v>
      </c>
      <c r="F64" s="157">
        <v>0.04</v>
      </c>
      <c r="G64" s="157">
        <v>120</v>
      </c>
      <c r="H64" s="158" t="s">
        <v>358</v>
      </c>
      <c r="I64" s="157">
        <v>0.4</v>
      </c>
      <c r="J64" s="181">
        <v>400000000000</v>
      </c>
      <c r="K64" s="159">
        <v>400000000000</v>
      </c>
      <c r="L64" s="159">
        <v>400000000000</v>
      </c>
      <c r="M64" s="157">
        <v>40000000000000</v>
      </c>
      <c r="N64" s="157">
        <v>40000000000</v>
      </c>
      <c r="O64" s="157">
        <v>120000000000000</v>
      </c>
      <c r="P64" s="156">
        <v>400000000000</v>
      </c>
      <c r="Q64" s="183">
        <v>100</v>
      </c>
      <c r="R64" s="188">
        <v>100000</v>
      </c>
      <c r="S64" t="e">
        <v>#N/A</v>
      </c>
    </row>
    <row r="65" spans="1:19" ht="15" x14ac:dyDescent="0.25">
      <c r="A65" t="s">
        <v>209</v>
      </c>
      <c r="B65" s="156">
        <v>2.9999999999999997E-4</v>
      </c>
      <c r="C65" s="156">
        <v>2.9999999999999997E-4</v>
      </c>
      <c r="D65" s="156">
        <v>2.9999999999999997E-4</v>
      </c>
      <c r="E65" s="157">
        <v>1E-3</v>
      </c>
      <c r="F65" s="157">
        <v>1E-3</v>
      </c>
      <c r="G65" s="157">
        <v>3</v>
      </c>
      <c r="H65" s="158" t="s">
        <v>358</v>
      </c>
      <c r="I65" s="157">
        <v>2.9999999999999997E-4</v>
      </c>
      <c r="J65" s="181">
        <v>300000000</v>
      </c>
      <c r="K65" s="159">
        <v>300000000</v>
      </c>
      <c r="L65" s="159">
        <v>300000000</v>
      </c>
      <c r="M65" s="157">
        <v>1000000000</v>
      </c>
      <c r="N65" s="157">
        <v>1000000000</v>
      </c>
      <c r="O65" s="157">
        <v>3000000000000</v>
      </c>
      <c r="P65" s="156">
        <v>300000000</v>
      </c>
      <c r="Q65" s="183">
        <v>1</v>
      </c>
      <c r="R65" s="188">
        <v>1000</v>
      </c>
      <c r="S65" t="e">
        <v>#N/A</v>
      </c>
    </row>
    <row r="66" spans="1:19" ht="15" x14ac:dyDescent="0.25">
      <c r="A66" t="s">
        <v>210</v>
      </c>
      <c r="B66" s="156">
        <v>20</v>
      </c>
      <c r="C66" s="156">
        <v>300</v>
      </c>
      <c r="D66" s="156">
        <v>20</v>
      </c>
      <c r="E66" s="157">
        <v>10</v>
      </c>
      <c r="F66" s="157">
        <v>0.6</v>
      </c>
      <c r="G66" s="157">
        <v>1800</v>
      </c>
      <c r="H66" s="158" t="s">
        <v>358</v>
      </c>
      <c r="I66" s="157">
        <v>20</v>
      </c>
      <c r="J66" s="181">
        <v>20000000000000</v>
      </c>
      <c r="K66" s="159">
        <v>300000000000000</v>
      </c>
      <c r="L66" s="159">
        <v>20000000000000</v>
      </c>
      <c r="M66" s="157">
        <v>10000000000000</v>
      </c>
      <c r="N66" s="157">
        <v>600000000000</v>
      </c>
      <c r="O66" s="157">
        <v>1800000000000000</v>
      </c>
      <c r="P66" s="156">
        <v>20000000000000</v>
      </c>
      <c r="Q66" s="183">
        <v>10000</v>
      </c>
      <c r="R66" s="188">
        <v>1000000</v>
      </c>
      <c r="S66">
        <v>301000</v>
      </c>
    </row>
    <row r="67" spans="1:19" ht="15" x14ac:dyDescent="0.25">
      <c r="A67" t="s">
        <v>211</v>
      </c>
      <c r="B67" s="156">
        <v>0.05</v>
      </c>
      <c r="C67" s="156">
        <v>0.05</v>
      </c>
      <c r="D67" s="156">
        <v>10</v>
      </c>
      <c r="E67" s="157">
        <v>0.2</v>
      </c>
      <c r="F67" s="157">
        <v>0.2</v>
      </c>
      <c r="G67" s="157">
        <v>600</v>
      </c>
      <c r="H67" s="158" t="s">
        <v>358</v>
      </c>
      <c r="I67" s="157">
        <v>0.05</v>
      </c>
      <c r="J67" s="181">
        <v>50000000000</v>
      </c>
      <c r="K67" s="159">
        <v>50000000000</v>
      </c>
      <c r="L67" s="159">
        <v>10000000000000</v>
      </c>
      <c r="M67" s="157">
        <v>200000000000</v>
      </c>
      <c r="N67" s="157">
        <v>200000000000</v>
      </c>
      <c r="O67" s="157">
        <v>600000000000000</v>
      </c>
      <c r="P67" s="156">
        <v>50000000000</v>
      </c>
      <c r="Q67" s="183">
        <v>10</v>
      </c>
      <c r="R67" s="188">
        <v>100000</v>
      </c>
      <c r="S67" t="e">
        <v>#N/A</v>
      </c>
    </row>
    <row r="68" spans="1:19" ht="15" x14ac:dyDescent="0.25">
      <c r="A68" t="s">
        <v>377</v>
      </c>
      <c r="B68" s="156">
        <v>0.3</v>
      </c>
      <c r="C68" s="156">
        <v>1</v>
      </c>
      <c r="D68" s="156">
        <v>0.3</v>
      </c>
      <c r="E68" s="157">
        <v>40</v>
      </c>
      <c r="F68" s="157">
        <v>0.02</v>
      </c>
      <c r="G68" s="157">
        <v>60</v>
      </c>
      <c r="H68" s="158" t="s">
        <v>358</v>
      </c>
      <c r="I68" s="157">
        <v>0.3</v>
      </c>
      <c r="J68" s="181">
        <v>300000000000</v>
      </c>
      <c r="K68" s="159">
        <v>1000000000000</v>
      </c>
      <c r="L68" s="159">
        <v>300000000000</v>
      </c>
      <c r="M68" s="157">
        <v>40000000000000</v>
      </c>
      <c r="N68" s="157">
        <v>20000000000</v>
      </c>
      <c r="O68" s="157">
        <v>60000000000000</v>
      </c>
      <c r="P68" s="156">
        <v>300000000000</v>
      </c>
      <c r="Q68" s="183">
        <v>100</v>
      </c>
      <c r="R68" s="188">
        <v>100000</v>
      </c>
      <c r="S68" t="e">
        <v>#N/A</v>
      </c>
    </row>
    <row r="69" spans="1:19" ht="15" x14ac:dyDescent="0.25">
      <c r="A69" t="s">
        <v>378</v>
      </c>
      <c r="B69" s="156">
        <v>0.1</v>
      </c>
      <c r="C69" s="156">
        <v>0.1</v>
      </c>
      <c r="D69" s="156">
        <v>7</v>
      </c>
      <c r="E69" s="157">
        <v>2</v>
      </c>
      <c r="F69" s="157">
        <v>1</v>
      </c>
      <c r="G69" s="157">
        <v>3000</v>
      </c>
      <c r="H69" s="158" t="s">
        <v>358</v>
      </c>
      <c r="I69" s="157">
        <v>0.1</v>
      </c>
      <c r="J69" s="181">
        <v>100000000000</v>
      </c>
      <c r="K69" s="159">
        <v>100000000000</v>
      </c>
      <c r="L69" s="159">
        <v>7000000000000</v>
      </c>
      <c r="M69" s="157">
        <v>2000000000000</v>
      </c>
      <c r="N69" s="157">
        <v>1000000000000</v>
      </c>
      <c r="O69" s="157">
        <v>3000000000000000</v>
      </c>
      <c r="P69" s="156">
        <v>100000000000</v>
      </c>
      <c r="Q69" s="183">
        <v>100</v>
      </c>
      <c r="R69" s="188">
        <v>1000000</v>
      </c>
      <c r="S69" t="e">
        <v>#N/A</v>
      </c>
    </row>
    <row r="70" spans="1:19" ht="15" x14ac:dyDescent="0.25">
      <c r="A70" t="s">
        <v>196</v>
      </c>
      <c r="B70" s="156">
        <v>0.04</v>
      </c>
      <c r="C70" s="156">
        <v>2000</v>
      </c>
      <c r="D70" s="156">
        <v>0.04</v>
      </c>
      <c r="E70" s="157">
        <v>40</v>
      </c>
      <c r="F70" s="157">
        <v>0.01</v>
      </c>
      <c r="G70" s="157">
        <v>30</v>
      </c>
      <c r="H70" s="158" t="s">
        <v>358</v>
      </c>
      <c r="I70" s="157">
        <v>0.04</v>
      </c>
      <c r="J70" s="181">
        <v>40000000000</v>
      </c>
      <c r="K70" s="159">
        <v>2000000000000000</v>
      </c>
      <c r="L70" s="159">
        <v>40000000000</v>
      </c>
      <c r="M70" s="157">
        <v>40000000000000</v>
      </c>
      <c r="N70" s="157">
        <v>10000000000</v>
      </c>
      <c r="O70" s="157">
        <v>30000000000000</v>
      </c>
      <c r="P70" s="156">
        <v>40000000000</v>
      </c>
      <c r="Q70" s="183">
        <v>100</v>
      </c>
      <c r="R70" s="188">
        <v>100000</v>
      </c>
      <c r="S70">
        <v>0.446269678302532</v>
      </c>
    </row>
    <row r="71" spans="1:19" ht="15" x14ac:dyDescent="0.25">
      <c r="A71" t="s">
        <v>197</v>
      </c>
      <c r="B71" s="156">
        <v>0.2</v>
      </c>
      <c r="C71" s="156">
        <v>0.6</v>
      </c>
      <c r="D71" s="156">
        <v>0.2</v>
      </c>
      <c r="E71" s="157">
        <v>9</v>
      </c>
      <c r="F71" s="157">
        <v>1E-3</v>
      </c>
      <c r="G71" s="157">
        <v>3</v>
      </c>
      <c r="H71" s="158" t="s">
        <v>358</v>
      </c>
      <c r="I71" s="157">
        <v>0.2</v>
      </c>
      <c r="J71" s="181">
        <v>200000000000</v>
      </c>
      <c r="K71" s="159">
        <v>600000000000</v>
      </c>
      <c r="L71" s="159">
        <v>200000000000</v>
      </c>
      <c r="M71" s="157">
        <v>9000000000000</v>
      </c>
      <c r="N71" s="157">
        <v>1000000000</v>
      </c>
      <c r="O71" s="157">
        <v>3000000000000</v>
      </c>
      <c r="P71" s="156">
        <v>200000000000</v>
      </c>
      <c r="Q71" s="183">
        <v>1</v>
      </c>
      <c r="R71" s="188">
        <v>10000</v>
      </c>
      <c r="S71" t="e">
        <v>#N/A</v>
      </c>
    </row>
    <row r="72" spans="1:19" ht="15" x14ac:dyDescent="0.25">
      <c r="A72" t="s">
        <v>198</v>
      </c>
      <c r="B72" s="156">
        <v>0.05</v>
      </c>
      <c r="C72" s="156">
        <v>10000</v>
      </c>
      <c r="D72" s="156">
        <v>0.05</v>
      </c>
      <c r="E72" s="157">
        <v>20</v>
      </c>
      <c r="F72" s="157">
        <v>2E-3</v>
      </c>
      <c r="G72" s="160">
        <v>0.5</v>
      </c>
      <c r="H72" s="158" t="s">
        <v>361</v>
      </c>
      <c r="I72" s="163">
        <v>0.05</v>
      </c>
      <c r="J72" s="181">
        <v>50000000000</v>
      </c>
      <c r="K72" s="159">
        <v>1E+16</v>
      </c>
      <c r="L72" s="159">
        <v>50000000000</v>
      </c>
      <c r="M72" s="157">
        <v>20000000000000</v>
      </c>
      <c r="N72" s="157">
        <v>2000000000</v>
      </c>
      <c r="O72" s="157">
        <v>500000000000</v>
      </c>
      <c r="P72" s="156">
        <v>50000000000</v>
      </c>
      <c r="Q72" s="183">
        <v>10</v>
      </c>
      <c r="R72" s="188">
        <v>10000</v>
      </c>
      <c r="S72">
        <v>18.100000000000001</v>
      </c>
    </row>
    <row r="73" spans="1:19" ht="15" x14ac:dyDescent="0.25">
      <c r="A73" t="s">
        <v>199</v>
      </c>
      <c r="B73" s="156">
        <v>0.09</v>
      </c>
      <c r="C73" s="156">
        <v>0.09</v>
      </c>
      <c r="D73" s="156">
        <v>0.09</v>
      </c>
      <c r="E73" s="157">
        <v>9</v>
      </c>
      <c r="F73" s="157">
        <v>8.9999999999999998E-4</v>
      </c>
      <c r="G73" s="157">
        <v>2.6999999999999997</v>
      </c>
      <c r="H73" s="158" t="s">
        <v>358</v>
      </c>
      <c r="I73" s="157">
        <v>0.09</v>
      </c>
      <c r="J73" s="181">
        <v>90000000000</v>
      </c>
      <c r="K73" s="159">
        <v>90000000000</v>
      </c>
      <c r="L73" s="159">
        <v>90000000000</v>
      </c>
      <c r="M73" s="157">
        <v>9000000000000</v>
      </c>
      <c r="N73" s="157">
        <v>900000000</v>
      </c>
      <c r="O73" s="157">
        <v>2699999999999.9995</v>
      </c>
      <c r="P73" s="156">
        <v>90000000000</v>
      </c>
      <c r="Q73" s="183">
        <v>1</v>
      </c>
      <c r="R73" s="188">
        <v>1000</v>
      </c>
      <c r="S73" t="e">
        <v>#N/A</v>
      </c>
    </row>
    <row r="74" spans="1:19" ht="15" x14ac:dyDescent="0.25">
      <c r="A74" t="s">
        <v>200</v>
      </c>
      <c r="B74" s="156">
        <v>0.2</v>
      </c>
      <c r="C74" s="156">
        <v>0.2</v>
      </c>
      <c r="D74" s="156">
        <v>0.2</v>
      </c>
      <c r="E74" s="157">
        <v>9</v>
      </c>
      <c r="F74" s="157">
        <v>8.9999999999999998E-4</v>
      </c>
      <c r="G74" s="157">
        <v>2.6999999999999997</v>
      </c>
      <c r="H74" s="158" t="s">
        <v>358</v>
      </c>
      <c r="I74" s="157">
        <v>0.2</v>
      </c>
      <c r="J74" s="181">
        <v>200000000000</v>
      </c>
      <c r="K74" s="159">
        <v>200000000000</v>
      </c>
      <c r="L74" s="159">
        <v>200000000000</v>
      </c>
      <c r="M74" s="157">
        <v>9000000000000</v>
      </c>
      <c r="N74" s="157">
        <v>900000000</v>
      </c>
      <c r="O74" s="157">
        <v>2699999999999.9995</v>
      </c>
      <c r="P74" s="156">
        <v>200000000000</v>
      </c>
      <c r="Q74" s="183">
        <v>1</v>
      </c>
      <c r="R74" s="188">
        <v>1000</v>
      </c>
      <c r="S74" t="e">
        <v>#N/A</v>
      </c>
    </row>
    <row r="75" spans="1:19" ht="15" x14ac:dyDescent="0.25">
      <c r="A75" t="s">
        <v>201</v>
      </c>
      <c r="B75" s="156">
        <v>1E-3</v>
      </c>
      <c r="C75" s="156">
        <v>1E-3</v>
      </c>
      <c r="D75" s="156">
        <v>1E-3</v>
      </c>
      <c r="E75" s="157">
        <v>3</v>
      </c>
      <c r="F75" s="157">
        <v>1E-3</v>
      </c>
      <c r="G75" s="157">
        <v>3</v>
      </c>
      <c r="H75" s="158" t="s">
        <v>358</v>
      </c>
      <c r="I75" s="157">
        <v>1E-3</v>
      </c>
      <c r="J75" s="181">
        <v>1000000000</v>
      </c>
      <c r="K75" s="159">
        <v>1000000000</v>
      </c>
      <c r="L75" s="159">
        <v>1000000000</v>
      </c>
      <c r="M75" s="157">
        <v>3000000000000</v>
      </c>
      <c r="N75" s="157">
        <v>1000000000</v>
      </c>
      <c r="O75" s="157">
        <v>3000000000000</v>
      </c>
      <c r="P75" s="156">
        <v>1000000000</v>
      </c>
      <c r="Q75" s="183">
        <v>1</v>
      </c>
      <c r="R75" s="188">
        <v>10000</v>
      </c>
      <c r="S75" t="e">
        <v>#N/A</v>
      </c>
    </row>
    <row r="76" spans="1:19" ht="15" x14ac:dyDescent="0.25">
      <c r="A76" t="s">
        <v>202</v>
      </c>
      <c r="B76" s="156">
        <v>5.0000000000000001E-3</v>
      </c>
      <c r="C76" s="156">
        <v>5.0000000000000001E-3</v>
      </c>
      <c r="D76" s="156">
        <v>5.0000000000000001E-3</v>
      </c>
      <c r="E76" s="157">
        <v>0.02</v>
      </c>
      <c r="F76" s="157">
        <v>2.9999999999999997E-4</v>
      </c>
      <c r="G76" s="157">
        <v>0.89999999999999991</v>
      </c>
      <c r="H76" s="158" t="s">
        <v>358</v>
      </c>
      <c r="I76" s="157">
        <v>5.0000000000000001E-3</v>
      </c>
      <c r="J76" s="181">
        <v>5000000000</v>
      </c>
      <c r="K76" s="159">
        <v>5000000000</v>
      </c>
      <c r="L76" s="159">
        <v>5000000000</v>
      </c>
      <c r="M76" s="157">
        <v>20000000000</v>
      </c>
      <c r="N76" s="157">
        <v>300000000</v>
      </c>
      <c r="O76" s="157">
        <v>899999999999.99988</v>
      </c>
      <c r="P76" s="156">
        <v>5000000000</v>
      </c>
      <c r="Q76" s="183">
        <v>1</v>
      </c>
      <c r="R76" s="188">
        <v>1000</v>
      </c>
      <c r="S76" t="e">
        <v>#N/A</v>
      </c>
    </row>
    <row r="77" spans="1:19" ht="15" x14ac:dyDescent="0.25">
      <c r="A77" t="s">
        <v>35</v>
      </c>
      <c r="B77" s="156">
        <v>0.03</v>
      </c>
      <c r="C77" s="156">
        <v>0.03</v>
      </c>
      <c r="D77" s="156">
        <v>200</v>
      </c>
      <c r="E77" s="157">
        <v>0.5</v>
      </c>
      <c r="F77" s="157">
        <v>0.5</v>
      </c>
      <c r="G77" s="157">
        <v>1500</v>
      </c>
      <c r="H77" s="158" t="s">
        <v>358</v>
      </c>
      <c r="I77" s="157">
        <v>0.03</v>
      </c>
      <c r="J77" s="181">
        <v>30000000000</v>
      </c>
      <c r="K77" s="159">
        <v>30000000000</v>
      </c>
      <c r="L77" s="159">
        <v>200000000000000</v>
      </c>
      <c r="M77" s="157">
        <v>500000000000</v>
      </c>
      <c r="N77" s="157">
        <v>500000000000</v>
      </c>
      <c r="O77" s="157">
        <v>1500000000000000</v>
      </c>
      <c r="P77" s="156">
        <v>30000000000</v>
      </c>
      <c r="Q77" s="183">
        <v>10</v>
      </c>
      <c r="R77" s="188">
        <v>1000000</v>
      </c>
      <c r="S77" t="e">
        <v>#N/A</v>
      </c>
    </row>
    <row r="78" spans="1:19" ht="15" x14ac:dyDescent="0.25">
      <c r="A78" t="s">
        <v>36</v>
      </c>
      <c r="B78" s="156">
        <v>0.02</v>
      </c>
      <c r="C78" s="156">
        <v>0.02</v>
      </c>
      <c r="D78" s="156">
        <v>20</v>
      </c>
      <c r="E78" s="157">
        <v>0.3</v>
      </c>
      <c r="F78" s="157">
        <v>0.3</v>
      </c>
      <c r="G78" s="157">
        <v>900</v>
      </c>
      <c r="H78" s="158" t="s">
        <v>358</v>
      </c>
      <c r="I78" s="157">
        <v>0.02</v>
      </c>
      <c r="J78" s="181">
        <v>20000000000</v>
      </c>
      <c r="K78" s="159">
        <v>20000000000</v>
      </c>
      <c r="L78" s="159">
        <v>20000000000000</v>
      </c>
      <c r="M78" s="157">
        <v>300000000000</v>
      </c>
      <c r="N78" s="157">
        <v>300000000000</v>
      </c>
      <c r="O78" s="157">
        <v>900000000000000</v>
      </c>
      <c r="P78" s="156">
        <v>20000000000</v>
      </c>
      <c r="Q78" s="183">
        <v>10</v>
      </c>
      <c r="R78" s="188">
        <v>100000</v>
      </c>
      <c r="S78">
        <v>0.21142348</v>
      </c>
    </row>
    <row r="79" spans="1:19" ht="15" x14ac:dyDescent="0.25">
      <c r="A79" t="s">
        <v>37</v>
      </c>
      <c r="B79" s="156">
        <v>0.7</v>
      </c>
      <c r="C79" s="156">
        <v>0.7</v>
      </c>
      <c r="D79" s="156">
        <v>400</v>
      </c>
      <c r="E79" s="157">
        <v>10</v>
      </c>
      <c r="F79" s="157">
        <v>10</v>
      </c>
      <c r="G79" s="160">
        <v>7</v>
      </c>
      <c r="H79" s="158" t="s">
        <v>361</v>
      </c>
      <c r="I79" s="157">
        <v>0.7</v>
      </c>
      <c r="J79" s="181">
        <v>700000000000</v>
      </c>
      <c r="K79" s="159">
        <v>700000000000</v>
      </c>
      <c r="L79" s="159">
        <v>400000000000000</v>
      </c>
      <c r="M79" s="157">
        <v>10000000000000</v>
      </c>
      <c r="N79" s="157">
        <v>10000000000000</v>
      </c>
      <c r="O79" s="157">
        <v>7000000000000</v>
      </c>
      <c r="P79" s="156">
        <v>700000000000</v>
      </c>
      <c r="Q79" s="183">
        <v>100</v>
      </c>
      <c r="R79" s="188">
        <v>1000000</v>
      </c>
      <c r="S79">
        <v>0.74195756331279905</v>
      </c>
    </row>
    <row r="80" spans="1:19" ht="15" x14ac:dyDescent="0.25">
      <c r="A80" t="s">
        <v>38</v>
      </c>
      <c r="B80" s="156">
        <v>7.0000000000000007E-2</v>
      </c>
      <c r="C80" s="156">
        <v>7.0000000000000007E-2</v>
      </c>
      <c r="D80" s="156">
        <v>70</v>
      </c>
      <c r="E80" s="157">
        <v>1</v>
      </c>
      <c r="F80" s="157">
        <v>1</v>
      </c>
      <c r="G80" s="157">
        <v>3000</v>
      </c>
      <c r="H80" s="158" t="s">
        <v>358</v>
      </c>
      <c r="I80" s="157">
        <v>7.0000000000000007E-2</v>
      </c>
      <c r="J80" s="181">
        <v>70000000000</v>
      </c>
      <c r="K80" s="159">
        <v>70000000000</v>
      </c>
      <c r="L80" s="159">
        <v>70000000000000</v>
      </c>
      <c r="M80" s="157">
        <v>1000000000000</v>
      </c>
      <c r="N80" s="157">
        <v>1000000000000</v>
      </c>
      <c r="O80" s="157">
        <v>3000000000000000</v>
      </c>
      <c r="P80" s="156">
        <v>70000000000</v>
      </c>
      <c r="Q80" s="183">
        <v>10</v>
      </c>
      <c r="R80" s="188">
        <v>1000000</v>
      </c>
      <c r="S80">
        <v>0.193839835728952</v>
      </c>
    </row>
    <row r="81" spans="1:19" ht="15" x14ac:dyDescent="0.25">
      <c r="A81" t="s">
        <v>39</v>
      </c>
      <c r="B81" s="156">
        <v>7.0000000000000007E-2</v>
      </c>
      <c r="C81" s="156">
        <v>7.0000000000000007E-2</v>
      </c>
      <c r="D81" s="156">
        <v>200</v>
      </c>
      <c r="E81" s="157">
        <v>40</v>
      </c>
      <c r="F81" s="157">
        <v>40</v>
      </c>
      <c r="G81" s="157">
        <v>120000</v>
      </c>
      <c r="H81" s="158" t="s">
        <v>358</v>
      </c>
      <c r="I81" s="157">
        <v>7.0000000000000007E-2</v>
      </c>
      <c r="J81" s="181">
        <v>70000000000</v>
      </c>
      <c r="K81" s="159">
        <v>70000000000</v>
      </c>
      <c r="L81" s="159">
        <v>200000000000000</v>
      </c>
      <c r="M81" s="157">
        <v>40000000000000</v>
      </c>
      <c r="N81" s="157">
        <v>40000000000000</v>
      </c>
      <c r="O81" s="157">
        <v>1.2E+17</v>
      </c>
      <c r="P81" s="156">
        <v>70000000000</v>
      </c>
      <c r="Q81" s="183">
        <v>10000</v>
      </c>
      <c r="R81" s="188">
        <v>10000000</v>
      </c>
      <c r="S81" t="e">
        <v>#N/A</v>
      </c>
    </row>
    <row r="82" spans="1:19" ht="15" x14ac:dyDescent="0.25">
      <c r="A82" t="s">
        <v>2</v>
      </c>
      <c r="B82" s="156">
        <v>0.03</v>
      </c>
      <c r="C82" s="156">
        <v>0.03</v>
      </c>
      <c r="D82" s="156">
        <v>30</v>
      </c>
      <c r="E82" s="157">
        <v>0.4</v>
      </c>
      <c r="F82" s="157">
        <v>0.4</v>
      </c>
      <c r="G82" s="160">
        <v>0.3</v>
      </c>
      <c r="H82" s="158" t="s">
        <v>361</v>
      </c>
      <c r="I82" s="163">
        <v>0.03</v>
      </c>
      <c r="J82" s="181">
        <v>30000000000</v>
      </c>
      <c r="K82" s="159">
        <v>30000000000</v>
      </c>
      <c r="L82" s="159">
        <v>30000000000000</v>
      </c>
      <c r="M82" s="157">
        <v>400000000000</v>
      </c>
      <c r="N82" s="157">
        <v>400000000000</v>
      </c>
      <c r="O82" s="157">
        <v>300000000000</v>
      </c>
      <c r="P82" s="156">
        <v>30000000000</v>
      </c>
      <c r="Q82" s="183">
        <v>10</v>
      </c>
      <c r="R82" s="188">
        <v>100000</v>
      </c>
      <c r="S82">
        <v>5.27</v>
      </c>
    </row>
    <row r="83" spans="1:19" ht="15" x14ac:dyDescent="0.25">
      <c r="A83" t="s">
        <v>27</v>
      </c>
      <c r="B83" s="156">
        <v>2</v>
      </c>
      <c r="C83" s="156">
        <v>2</v>
      </c>
      <c r="D83" s="156">
        <v>5000</v>
      </c>
      <c r="E83" s="157">
        <v>30</v>
      </c>
      <c r="F83" s="157">
        <v>30</v>
      </c>
      <c r="G83" s="157">
        <v>90000</v>
      </c>
      <c r="H83" s="158" t="s">
        <v>358</v>
      </c>
      <c r="I83" s="157">
        <v>2</v>
      </c>
      <c r="J83" s="181">
        <v>2000000000000</v>
      </c>
      <c r="K83" s="159">
        <v>2000000000000</v>
      </c>
      <c r="L83" s="159">
        <v>5000000000000000</v>
      </c>
      <c r="M83" s="157">
        <v>30000000000000</v>
      </c>
      <c r="N83" s="157">
        <v>30000000000000</v>
      </c>
      <c r="O83" s="157">
        <v>9E+16</v>
      </c>
      <c r="P83" s="156">
        <v>2000000000000</v>
      </c>
      <c r="Q83" s="183">
        <v>1000</v>
      </c>
      <c r="R83" s="188">
        <v>10000000</v>
      </c>
      <c r="S83">
        <v>7.5838466803559199E-2</v>
      </c>
    </row>
    <row r="84" spans="1:19" ht="15" x14ac:dyDescent="0.25">
      <c r="A84" t="s">
        <v>113</v>
      </c>
      <c r="B84" s="156">
        <v>0.3</v>
      </c>
      <c r="C84" s="156">
        <v>0.3</v>
      </c>
      <c r="D84" s="156">
        <v>1000</v>
      </c>
      <c r="E84" s="157">
        <v>4</v>
      </c>
      <c r="F84" s="157">
        <v>4</v>
      </c>
      <c r="G84" s="157">
        <v>12000</v>
      </c>
      <c r="H84" s="158" t="s">
        <v>358</v>
      </c>
      <c r="I84" s="157">
        <v>0.3</v>
      </c>
      <c r="J84" s="181">
        <v>300000000000</v>
      </c>
      <c r="K84" s="159">
        <v>300000000000</v>
      </c>
      <c r="L84" s="159">
        <v>1000000000000000</v>
      </c>
      <c r="M84" s="157">
        <v>4000000000000</v>
      </c>
      <c r="N84" s="157">
        <v>4000000000000</v>
      </c>
      <c r="O84" s="157">
        <v>1.2E+16</v>
      </c>
      <c r="P84" s="156">
        <v>300000000000</v>
      </c>
      <c r="Q84" s="183">
        <v>100</v>
      </c>
      <c r="R84" s="188">
        <v>100000</v>
      </c>
      <c r="S84" t="e">
        <v>#N/A</v>
      </c>
    </row>
    <row r="85" spans="1:19" ht="15" x14ac:dyDescent="0.25">
      <c r="A85" t="s">
        <v>114</v>
      </c>
      <c r="B85" s="156">
        <v>20</v>
      </c>
      <c r="C85" s="156">
        <v>20</v>
      </c>
      <c r="D85" s="156">
        <v>2000</v>
      </c>
      <c r="E85" s="157">
        <v>30</v>
      </c>
      <c r="F85" s="157">
        <v>30</v>
      </c>
      <c r="G85" s="157">
        <v>90000</v>
      </c>
      <c r="H85" s="158" t="s">
        <v>358</v>
      </c>
      <c r="I85" s="157">
        <v>20</v>
      </c>
      <c r="J85" s="181">
        <v>20000000000000</v>
      </c>
      <c r="K85" s="159">
        <v>20000000000000</v>
      </c>
      <c r="L85" s="159">
        <v>2000000000000000</v>
      </c>
      <c r="M85" s="157">
        <v>30000000000000</v>
      </c>
      <c r="N85" s="157">
        <v>30000000000000</v>
      </c>
      <c r="O85" s="157">
        <v>9E+16</v>
      </c>
      <c r="P85" s="156">
        <v>20000000000000</v>
      </c>
      <c r="Q85" s="183">
        <v>1000</v>
      </c>
      <c r="R85" s="188">
        <v>1000000</v>
      </c>
      <c r="S85" t="e">
        <v>#N/A</v>
      </c>
    </row>
    <row r="86" spans="1:19" ht="15" x14ac:dyDescent="0.25">
      <c r="A86" t="s">
        <v>115</v>
      </c>
      <c r="B86" s="156">
        <v>0.1</v>
      </c>
      <c r="C86" s="156">
        <v>0.1</v>
      </c>
      <c r="D86" s="156">
        <v>100</v>
      </c>
      <c r="E86" s="157">
        <v>1</v>
      </c>
      <c r="F86" s="157">
        <v>1</v>
      </c>
      <c r="G86" s="157">
        <v>3000</v>
      </c>
      <c r="H86" s="158" t="s">
        <v>358</v>
      </c>
      <c r="I86" s="157">
        <v>0.1</v>
      </c>
      <c r="J86" s="181">
        <v>100000000000</v>
      </c>
      <c r="K86" s="159">
        <v>100000000000</v>
      </c>
      <c r="L86" s="159">
        <v>100000000000000</v>
      </c>
      <c r="M86" s="157">
        <v>1000000000000</v>
      </c>
      <c r="N86" s="157">
        <v>1000000000000</v>
      </c>
      <c r="O86" s="157">
        <v>3000000000000000</v>
      </c>
      <c r="P86" s="156">
        <v>100000000000</v>
      </c>
      <c r="Q86" s="183">
        <v>10</v>
      </c>
      <c r="R86" s="188">
        <v>100000</v>
      </c>
      <c r="S86" t="e">
        <v>#N/A</v>
      </c>
    </row>
    <row r="87" spans="1:19" ht="15" x14ac:dyDescent="0.25">
      <c r="A87" t="s">
        <v>117</v>
      </c>
      <c r="B87" s="156">
        <v>0.04</v>
      </c>
      <c r="C87" s="156">
        <v>0.04</v>
      </c>
      <c r="D87" s="156">
        <v>30</v>
      </c>
      <c r="E87" s="157">
        <v>0.7</v>
      </c>
      <c r="F87" s="157">
        <v>0.7</v>
      </c>
      <c r="G87" s="157">
        <v>2100</v>
      </c>
      <c r="H87" s="158" t="s">
        <v>358</v>
      </c>
      <c r="I87" s="157">
        <v>0.04</v>
      </c>
      <c r="J87" s="181">
        <v>40000000000</v>
      </c>
      <c r="K87" s="159">
        <v>40000000000</v>
      </c>
      <c r="L87" s="159">
        <v>30000000000000</v>
      </c>
      <c r="M87" s="157">
        <v>700000000000</v>
      </c>
      <c r="N87" s="157">
        <v>700000000000</v>
      </c>
      <c r="O87" s="157">
        <v>2100000000000000</v>
      </c>
      <c r="P87" s="156">
        <v>40000000000</v>
      </c>
      <c r="Q87" s="183">
        <v>10</v>
      </c>
      <c r="R87" s="188">
        <v>10000</v>
      </c>
      <c r="S87">
        <v>2.06</v>
      </c>
    </row>
    <row r="88" spans="1:19" ht="15" x14ac:dyDescent="0.25">
      <c r="A88" t="s">
        <v>116</v>
      </c>
      <c r="B88" s="156">
        <v>0.04</v>
      </c>
      <c r="C88" s="156">
        <v>0.04</v>
      </c>
      <c r="D88" s="156">
        <v>10000</v>
      </c>
      <c r="E88" s="157">
        <v>40</v>
      </c>
      <c r="F88" s="157">
        <v>0.6</v>
      </c>
      <c r="G88" s="157">
        <v>1800</v>
      </c>
      <c r="H88" s="158" t="s">
        <v>358</v>
      </c>
      <c r="I88" s="157">
        <v>0.04</v>
      </c>
      <c r="J88" s="181">
        <v>40000000000</v>
      </c>
      <c r="K88" s="159">
        <v>40000000000</v>
      </c>
      <c r="L88" s="159">
        <v>1E+16</v>
      </c>
      <c r="M88" s="157">
        <v>40000000000000</v>
      </c>
      <c r="N88" s="157">
        <v>600000000000</v>
      </c>
      <c r="O88" s="157">
        <v>1800000000000000</v>
      </c>
      <c r="P88" s="156">
        <v>40000000000</v>
      </c>
      <c r="Q88" s="183">
        <v>1000</v>
      </c>
      <c r="R88" s="188">
        <v>100000</v>
      </c>
      <c r="S88" t="e">
        <v>#N/A</v>
      </c>
    </row>
    <row r="89" spans="1:19" ht="15" x14ac:dyDescent="0.25">
      <c r="A89" t="s">
        <v>118</v>
      </c>
      <c r="B89" s="156" t="s">
        <v>362</v>
      </c>
      <c r="C89" s="156" t="s">
        <v>362</v>
      </c>
      <c r="D89" s="156" t="s">
        <v>362</v>
      </c>
      <c r="E89" s="157">
        <v>40</v>
      </c>
      <c r="F89" s="157">
        <v>1</v>
      </c>
      <c r="G89" s="157">
        <v>3000</v>
      </c>
      <c r="H89" s="158" t="s">
        <v>358</v>
      </c>
      <c r="I89" s="157" t="s">
        <v>362</v>
      </c>
      <c r="J89" s="181" t="s">
        <v>362</v>
      </c>
      <c r="K89" s="159" t="s">
        <v>362</v>
      </c>
      <c r="L89" s="159" t="s">
        <v>362</v>
      </c>
      <c r="M89" s="157">
        <v>40000000000000</v>
      </c>
      <c r="N89" s="157">
        <v>1000000000000</v>
      </c>
      <c r="O89" s="157">
        <v>3000000000000000</v>
      </c>
      <c r="P89" s="164" t="s">
        <v>362</v>
      </c>
      <c r="Q89" s="183">
        <v>10000</v>
      </c>
      <c r="R89" s="188">
        <v>10000000</v>
      </c>
      <c r="S89" t="e">
        <v>#N/A</v>
      </c>
    </row>
    <row r="90" spans="1:19" ht="15" x14ac:dyDescent="0.25">
      <c r="A90" t="s">
        <v>119</v>
      </c>
      <c r="B90" s="156">
        <v>0.03</v>
      </c>
      <c r="C90" s="156">
        <v>0.03</v>
      </c>
      <c r="D90" s="156">
        <v>20</v>
      </c>
      <c r="E90" s="157">
        <v>0.5</v>
      </c>
      <c r="F90" s="157">
        <v>0.5</v>
      </c>
      <c r="G90" s="157">
        <v>1500</v>
      </c>
      <c r="H90" s="158" t="s">
        <v>358</v>
      </c>
      <c r="I90" s="157">
        <v>0.03</v>
      </c>
      <c r="J90" s="181">
        <v>30000000000</v>
      </c>
      <c r="K90" s="159">
        <v>30000000000</v>
      </c>
      <c r="L90" s="159">
        <v>20000000000000</v>
      </c>
      <c r="M90" s="157">
        <v>500000000000</v>
      </c>
      <c r="N90" s="157">
        <v>500000000000</v>
      </c>
      <c r="O90" s="157">
        <v>1500000000000000</v>
      </c>
      <c r="P90" s="156">
        <v>30000000000</v>
      </c>
      <c r="Q90" s="183">
        <v>10</v>
      </c>
      <c r="R90" s="188">
        <v>100000</v>
      </c>
      <c r="S90" t="e">
        <v>#N/A</v>
      </c>
    </row>
    <row r="91" spans="1:19" ht="15" x14ac:dyDescent="0.25">
      <c r="A91" t="s">
        <v>0</v>
      </c>
      <c r="B91" s="156">
        <v>0.1</v>
      </c>
      <c r="C91" s="156">
        <v>0.1</v>
      </c>
      <c r="D91" s="156">
        <v>20</v>
      </c>
      <c r="E91" s="157">
        <v>2</v>
      </c>
      <c r="F91" s="157">
        <v>0.6</v>
      </c>
      <c r="G91" s="160">
        <v>1</v>
      </c>
      <c r="H91" s="158" t="s">
        <v>361</v>
      </c>
      <c r="I91" s="163">
        <v>0.1</v>
      </c>
      <c r="J91" s="181">
        <v>100000000000</v>
      </c>
      <c r="K91" s="159">
        <v>100000000000</v>
      </c>
      <c r="L91" s="159">
        <v>20000000000000</v>
      </c>
      <c r="M91" s="157">
        <v>2000000000000</v>
      </c>
      <c r="N91" s="157">
        <v>600000000000</v>
      </c>
      <c r="O91" s="157">
        <v>1000000000000</v>
      </c>
      <c r="P91" s="156">
        <v>100000000000</v>
      </c>
      <c r="Q91" s="183">
        <v>10</v>
      </c>
      <c r="R91" s="188">
        <v>10000</v>
      </c>
      <c r="S91">
        <v>30.16</v>
      </c>
    </row>
    <row r="92" spans="1:19" ht="15" x14ac:dyDescent="0.25">
      <c r="A92" t="s">
        <v>43</v>
      </c>
      <c r="B92" s="156">
        <v>0.3</v>
      </c>
      <c r="C92" s="156">
        <v>0.3</v>
      </c>
      <c r="D92" s="156">
        <v>40</v>
      </c>
      <c r="E92" s="157">
        <v>6</v>
      </c>
      <c r="F92" s="157">
        <v>1</v>
      </c>
      <c r="G92" s="157">
        <v>3000</v>
      </c>
      <c r="H92" s="158" t="s">
        <v>358</v>
      </c>
      <c r="I92" s="157">
        <v>0.3</v>
      </c>
      <c r="J92" s="181">
        <v>300000000000</v>
      </c>
      <c r="K92" s="159">
        <v>300000000000</v>
      </c>
      <c r="L92" s="159">
        <v>40000000000000</v>
      </c>
      <c r="M92" s="157">
        <v>6000000000000</v>
      </c>
      <c r="N92" s="157">
        <v>1000000000000</v>
      </c>
      <c r="O92" s="157">
        <v>3000000000000000</v>
      </c>
      <c r="P92" s="156">
        <v>300000000000</v>
      </c>
      <c r="Q92" s="183">
        <v>100</v>
      </c>
      <c r="R92" s="188">
        <v>1000000</v>
      </c>
      <c r="S92">
        <v>1.4487793748574E-3</v>
      </c>
    </row>
    <row r="93" spans="1:19" ht="15" x14ac:dyDescent="0.25">
      <c r="A93" t="s">
        <v>379</v>
      </c>
      <c r="B93" s="156">
        <v>0.7</v>
      </c>
      <c r="C93" s="156">
        <v>0.7</v>
      </c>
      <c r="D93" s="156">
        <v>300</v>
      </c>
      <c r="E93" s="157">
        <v>10</v>
      </c>
      <c r="F93" s="157">
        <v>0.7</v>
      </c>
      <c r="G93" s="157">
        <v>2100</v>
      </c>
      <c r="H93" s="158" t="s">
        <v>358</v>
      </c>
      <c r="I93" s="157">
        <v>0.7</v>
      </c>
      <c r="J93" s="181">
        <v>700000000000</v>
      </c>
      <c r="K93" s="159">
        <v>700000000000</v>
      </c>
      <c r="L93" s="159">
        <v>300000000000000</v>
      </c>
      <c r="M93" s="157">
        <v>10000000000000</v>
      </c>
      <c r="N93" s="157">
        <v>700000000000</v>
      </c>
      <c r="O93" s="157">
        <v>2100000000000000</v>
      </c>
      <c r="P93" s="156">
        <v>700000000000</v>
      </c>
      <c r="Q93" s="183">
        <v>100</v>
      </c>
      <c r="R93" s="188">
        <v>1000000</v>
      </c>
      <c r="S93" t="e">
        <v>#N/A</v>
      </c>
    </row>
    <row r="94" spans="1:19" ht="15" x14ac:dyDescent="0.25">
      <c r="A94" t="s">
        <v>380</v>
      </c>
      <c r="B94" s="156">
        <v>6</v>
      </c>
      <c r="C94" s="156">
        <v>6</v>
      </c>
      <c r="D94" s="156">
        <v>500</v>
      </c>
      <c r="E94" s="157">
        <v>20</v>
      </c>
      <c r="F94" s="157">
        <v>20</v>
      </c>
      <c r="G94" s="157">
        <v>60000</v>
      </c>
      <c r="H94" s="158" t="s">
        <v>358</v>
      </c>
      <c r="I94" s="157">
        <v>6</v>
      </c>
      <c r="J94" s="181">
        <v>6000000000000</v>
      </c>
      <c r="K94" s="159">
        <v>6000000000000</v>
      </c>
      <c r="L94" s="159">
        <v>500000000000000</v>
      </c>
      <c r="M94" s="157">
        <v>20000000000000</v>
      </c>
      <c r="N94" s="157">
        <v>20000000000000</v>
      </c>
      <c r="O94" s="157">
        <v>6E+16</v>
      </c>
      <c r="P94" s="156">
        <v>6000000000000</v>
      </c>
      <c r="Q94" s="183">
        <v>1000</v>
      </c>
      <c r="R94" s="188">
        <v>10000000</v>
      </c>
      <c r="S94" t="e">
        <v>#N/A</v>
      </c>
    </row>
    <row r="95" spans="1:19" ht="15" x14ac:dyDescent="0.25">
      <c r="A95" t="s">
        <v>140</v>
      </c>
      <c r="B95" s="156">
        <v>3</v>
      </c>
      <c r="C95" s="156">
        <v>3</v>
      </c>
      <c r="D95" s="156">
        <v>20</v>
      </c>
      <c r="E95" s="157">
        <v>0.9</v>
      </c>
      <c r="F95" s="157">
        <v>0.6</v>
      </c>
      <c r="G95" s="157">
        <v>1800</v>
      </c>
      <c r="H95" s="158" t="s">
        <v>358</v>
      </c>
      <c r="I95" s="157">
        <v>3</v>
      </c>
      <c r="J95" s="181">
        <v>3000000000000</v>
      </c>
      <c r="K95" s="159">
        <v>3000000000000</v>
      </c>
      <c r="L95" s="159">
        <v>20000000000000</v>
      </c>
      <c r="M95" s="157">
        <v>900000000000</v>
      </c>
      <c r="N95" s="157">
        <v>600000000000</v>
      </c>
      <c r="O95" s="157">
        <v>1800000000000000</v>
      </c>
      <c r="P95" s="156">
        <v>3000000000000</v>
      </c>
      <c r="Q95" s="183">
        <v>1000</v>
      </c>
      <c r="R95" s="188">
        <v>1000000</v>
      </c>
      <c r="S95" t="e">
        <v>#N/A</v>
      </c>
    </row>
    <row r="96" spans="1:19" ht="15" x14ac:dyDescent="0.25">
      <c r="A96" t="s">
        <v>141</v>
      </c>
      <c r="B96" s="156">
        <v>1</v>
      </c>
      <c r="C96" s="156">
        <v>1</v>
      </c>
      <c r="D96" s="156">
        <v>20</v>
      </c>
      <c r="E96" s="157">
        <v>0.9</v>
      </c>
      <c r="F96" s="157">
        <v>0.3</v>
      </c>
      <c r="G96" s="157">
        <v>900</v>
      </c>
      <c r="H96" s="158" t="s">
        <v>358</v>
      </c>
      <c r="I96" s="157">
        <v>1</v>
      </c>
      <c r="J96" s="181">
        <v>1000000000000</v>
      </c>
      <c r="K96" s="159">
        <v>1000000000000</v>
      </c>
      <c r="L96" s="159">
        <v>20000000000000</v>
      </c>
      <c r="M96" s="157">
        <v>900000000000</v>
      </c>
      <c r="N96" s="157">
        <v>300000000000</v>
      </c>
      <c r="O96" s="157">
        <v>900000000000000</v>
      </c>
      <c r="P96" s="156">
        <v>1000000000000</v>
      </c>
      <c r="Q96" s="183">
        <v>1000</v>
      </c>
      <c r="R96" s="188">
        <v>1000000</v>
      </c>
      <c r="S96" t="e">
        <v>#N/A</v>
      </c>
    </row>
    <row r="97" spans="1:19" ht="15" x14ac:dyDescent="0.25">
      <c r="A97" t="s">
        <v>143</v>
      </c>
      <c r="B97" s="156">
        <v>200</v>
      </c>
      <c r="C97" s="156">
        <v>2000</v>
      </c>
      <c r="D97" s="156">
        <v>200</v>
      </c>
      <c r="E97" s="157">
        <v>40</v>
      </c>
      <c r="F97" s="157">
        <v>1</v>
      </c>
      <c r="G97" s="157">
        <v>3000</v>
      </c>
      <c r="H97" s="158" t="s">
        <v>358</v>
      </c>
      <c r="I97" s="157">
        <v>200</v>
      </c>
      <c r="J97" s="181">
        <v>200000000000000</v>
      </c>
      <c r="K97" s="159">
        <v>2000000000000000</v>
      </c>
      <c r="L97" s="159">
        <v>200000000000000</v>
      </c>
      <c r="M97" s="157">
        <v>40000000000000</v>
      </c>
      <c r="N97" s="157">
        <v>1000000000000</v>
      </c>
      <c r="O97" s="157">
        <v>3000000000000000</v>
      </c>
      <c r="P97" s="156">
        <v>200000000000000</v>
      </c>
      <c r="Q97" s="183">
        <v>10000</v>
      </c>
      <c r="R97" s="188">
        <v>10000000</v>
      </c>
      <c r="S97">
        <v>2.5735797399041801E-2</v>
      </c>
    </row>
    <row r="98" spans="1:19" ht="15" x14ac:dyDescent="0.25">
      <c r="A98" t="s">
        <v>144</v>
      </c>
      <c r="B98" s="156">
        <v>0.2</v>
      </c>
      <c r="C98" s="156">
        <v>0.2</v>
      </c>
      <c r="D98" s="156">
        <v>20</v>
      </c>
      <c r="E98" s="157">
        <v>0.8</v>
      </c>
      <c r="F98" s="157">
        <v>0.5</v>
      </c>
      <c r="G98" s="157">
        <v>1500</v>
      </c>
      <c r="H98" s="158" t="s">
        <v>358</v>
      </c>
      <c r="I98" s="157">
        <v>0.2</v>
      </c>
      <c r="J98" s="181">
        <v>200000000000</v>
      </c>
      <c r="K98" s="159">
        <v>200000000000</v>
      </c>
      <c r="L98" s="159">
        <v>20000000000000</v>
      </c>
      <c r="M98" s="157">
        <v>800000000000</v>
      </c>
      <c r="N98" s="157">
        <v>500000000000</v>
      </c>
      <c r="O98" s="157">
        <v>1500000000000000</v>
      </c>
      <c r="P98" s="156">
        <v>200000000000</v>
      </c>
      <c r="Q98" s="183">
        <v>100</v>
      </c>
      <c r="R98" s="188">
        <v>1000000</v>
      </c>
      <c r="S98" t="e">
        <v>#N/A</v>
      </c>
    </row>
    <row r="99" spans="1:19" ht="15" x14ac:dyDescent="0.25">
      <c r="A99" t="s">
        <v>381</v>
      </c>
      <c r="B99" s="156">
        <v>0.2</v>
      </c>
      <c r="C99" s="156">
        <v>0.2</v>
      </c>
      <c r="D99" s="156">
        <v>100</v>
      </c>
      <c r="E99" s="157">
        <v>2</v>
      </c>
      <c r="F99" s="157">
        <v>2</v>
      </c>
      <c r="G99" s="157">
        <v>6000</v>
      </c>
      <c r="H99" s="158" t="s">
        <v>358</v>
      </c>
      <c r="I99" s="157">
        <v>0.2</v>
      </c>
      <c r="J99" s="181">
        <v>200000000000</v>
      </c>
      <c r="K99" s="159">
        <v>200000000000</v>
      </c>
      <c r="L99" s="159">
        <v>100000000000000</v>
      </c>
      <c r="M99" s="157">
        <v>2000000000000</v>
      </c>
      <c r="N99" s="157">
        <v>2000000000000</v>
      </c>
      <c r="O99" s="157">
        <v>6000000000000000</v>
      </c>
      <c r="P99" s="156">
        <v>200000000000</v>
      </c>
      <c r="Q99" s="183">
        <v>100</v>
      </c>
      <c r="R99" s="188">
        <v>1000000</v>
      </c>
      <c r="S99" t="e">
        <v>#N/A</v>
      </c>
    </row>
    <row r="100" spans="1:19" ht="15" x14ac:dyDescent="0.25">
      <c r="A100" t="s">
        <v>382</v>
      </c>
      <c r="B100" s="156">
        <v>0.03</v>
      </c>
      <c r="C100" s="156">
        <v>0.03</v>
      </c>
      <c r="D100" s="156">
        <v>30</v>
      </c>
      <c r="E100" s="157">
        <v>0.5</v>
      </c>
      <c r="F100" s="157">
        <v>0.5</v>
      </c>
      <c r="G100" s="157">
        <v>1500</v>
      </c>
      <c r="H100" s="158" t="s">
        <v>358</v>
      </c>
      <c r="I100" s="157">
        <v>0.03</v>
      </c>
      <c r="J100" s="181">
        <v>30000000000</v>
      </c>
      <c r="K100" s="159">
        <v>30000000000</v>
      </c>
      <c r="L100" s="159">
        <v>30000000000000</v>
      </c>
      <c r="M100" s="157">
        <v>500000000000</v>
      </c>
      <c r="N100" s="157">
        <v>500000000000</v>
      </c>
      <c r="O100" s="157">
        <v>1500000000000000</v>
      </c>
      <c r="P100" s="156">
        <v>30000000000</v>
      </c>
      <c r="Q100" s="183">
        <v>10</v>
      </c>
      <c r="R100" s="188">
        <v>1000000</v>
      </c>
      <c r="S100" t="e">
        <v>#N/A</v>
      </c>
    </row>
    <row r="101" spans="1:19" ht="15" x14ac:dyDescent="0.25">
      <c r="A101" t="s">
        <v>383</v>
      </c>
      <c r="B101" s="156">
        <v>2</v>
      </c>
      <c r="C101" s="156">
        <v>2</v>
      </c>
      <c r="D101" s="156">
        <v>500</v>
      </c>
      <c r="E101" s="157">
        <v>20</v>
      </c>
      <c r="F101" s="157">
        <v>20</v>
      </c>
      <c r="G101" s="157">
        <v>60000</v>
      </c>
      <c r="H101" s="158" t="s">
        <v>358</v>
      </c>
      <c r="I101" s="157">
        <v>2</v>
      </c>
      <c r="J101" s="181">
        <v>2000000000000</v>
      </c>
      <c r="K101" s="159">
        <v>2000000000000</v>
      </c>
      <c r="L101" s="159">
        <v>500000000000000</v>
      </c>
      <c r="M101" s="157">
        <v>20000000000000</v>
      </c>
      <c r="N101" s="157">
        <v>20000000000000</v>
      </c>
      <c r="O101" s="157">
        <v>6E+16</v>
      </c>
      <c r="P101" s="156">
        <v>2000000000000</v>
      </c>
      <c r="Q101" s="183">
        <v>100</v>
      </c>
      <c r="R101" s="188">
        <v>10000000</v>
      </c>
      <c r="S101" t="e">
        <v>#N/A</v>
      </c>
    </row>
    <row r="102" spans="1:19" ht="15" x14ac:dyDescent="0.25">
      <c r="A102" t="s">
        <v>384</v>
      </c>
      <c r="B102" s="156">
        <v>0.05</v>
      </c>
      <c r="C102" s="156">
        <v>0.05</v>
      </c>
      <c r="D102" s="156">
        <v>400</v>
      </c>
      <c r="E102" s="157">
        <v>0.7</v>
      </c>
      <c r="F102" s="157">
        <v>0.7</v>
      </c>
      <c r="G102" s="157">
        <v>2100</v>
      </c>
      <c r="H102" s="158" t="s">
        <v>358</v>
      </c>
      <c r="I102" s="157">
        <v>0.05</v>
      </c>
      <c r="J102" s="181">
        <v>50000000000</v>
      </c>
      <c r="K102" s="159">
        <v>50000000000</v>
      </c>
      <c r="L102" s="159">
        <v>400000000000000</v>
      </c>
      <c r="M102" s="157">
        <v>700000000000</v>
      </c>
      <c r="N102" s="157">
        <v>700000000000</v>
      </c>
      <c r="O102" s="157">
        <v>2100000000000000</v>
      </c>
      <c r="P102" s="156">
        <v>50000000000</v>
      </c>
      <c r="Q102" s="183">
        <v>10</v>
      </c>
      <c r="R102" s="188">
        <v>1000000</v>
      </c>
      <c r="S102" t="e">
        <v>#N/A</v>
      </c>
    </row>
    <row r="103" spans="1:19" ht="15" x14ac:dyDescent="0.25">
      <c r="A103" t="s">
        <v>385</v>
      </c>
      <c r="B103" s="156">
        <v>2</v>
      </c>
      <c r="C103" s="156">
        <v>2</v>
      </c>
      <c r="D103" s="156">
        <v>30</v>
      </c>
      <c r="E103" s="157">
        <v>2</v>
      </c>
      <c r="F103" s="157">
        <v>0.7</v>
      </c>
      <c r="G103" s="157">
        <v>2100</v>
      </c>
      <c r="H103" s="158" t="s">
        <v>358</v>
      </c>
      <c r="I103" s="157">
        <v>2</v>
      </c>
      <c r="J103" s="181">
        <v>2000000000000</v>
      </c>
      <c r="K103" s="159">
        <v>2000000000000</v>
      </c>
      <c r="L103" s="159">
        <v>30000000000000</v>
      </c>
      <c r="M103" s="157">
        <v>2000000000000</v>
      </c>
      <c r="N103" s="157">
        <v>700000000000</v>
      </c>
      <c r="O103" s="157">
        <v>2100000000000000</v>
      </c>
      <c r="P103" s="156">
        <v>2000000000000</v>
      </c>
      <c r="Q103" s="183">
        <v>1000</v>
      </c>
      <c r="R103" s="188">
        <v>1000000</v>
      </c>
      <c r="S103" t="e">
        <v>#N/A</v>
      </c>
    </row>
    <row r="104" spans="1:19" ht="15" x14ac:dyDescent="0.25">
      <c r="A104" t="s">
        <v>133</v>
      </c>
      <c r="B104" s="156">
        <v>0.06</v>
      </c>
      <c r="C104" s="156">
        <v>0.06</v>
      </c>
      <c r="D104" s="156">
        <v>30</v>
      </c>
      <c r="E104" s="157">
        <v>1</v>
      </c>
      <c r="F104" s="157">
        <v>1</v>
      </c>
      <c r="G104" s="157">
        <v>3000</v>
      </c>
      <c r="H104" s="158" t="s">
        <v>358</v>
      </c>
      <c r="I104" s="157">
        <v>0.06</v>
      </c>
      <c r="J104" s="181">
        <v>60000000000</v>
      </c>
      <c r="K104" s="159">
        <v>60000000000</v>
      </c>
      <c r="L104" s="159">
        <v>30000000000000</v>
      </c>
      <c r="M104" s="157">
        <v>1000000000000</v>
      </c>
      <c r="N104" s="157">
        <v>1000000000000</v>
      </c>
      <c r="O104" s="157">
        <v>3000000000000000</v>
      </c>
      <c r="P104" s="156">
        <v>60000000000</v>
      </c>
      <c r="Q104" s="183">
        <v>10</v>
      </c>
      <c r="R104" s="188">
        <v>1000000</v>
      </c>
      <c r="S104">
        <v>13.3</v>
      </c>
    </row>
    <row r="105" spans="1:19" ht="15" x14ac:dyDescent="0.25">
      <c r="A105" t="s">
        <v>134</v>
      </c>
      <c r="B105" s="156">
        <v>0.2</v>
      </c>
      <c r="C105" s="156">
        <v>0.2</v>
      </c>
      <c r="D105" s="156">
        <v>20</v>
      </c>
      <c r="E105" s="157">
        <v>0.8</v>
      </c>
      <c r="F105" s="157">
        <v>0.8</v>
      </c>
      <c r="G105" s="157">
        <v>2400</v>
      </c>
      <c r="H105" s="158" t="s">
        <v>358</v>
      </c>
      <c r="I105" s="157">
        <v>0.2</v>
      </c>
      <c r="J105" s="181">
        <v>200000000000</v>
      </c>
      <c r="K105" s="159">
        <v>200000000000</v>
      </c>
      <c r="L105" s="159">
        <v>20000000000000</v>
      </c>
      <c r="M105" s="157">
        <v>800000000000</v>
      </c>
      <c r="N105" s="157">
        <v>800000000000</v>
      </c>
      <c r="O105" s="157">
        <v>2400000000000000</v>
      </c>
      <c r="P105" s="156">
        <v>200000000000</v>
      </c>
      <c r="Q105" s="183">
        <v>100</v>
      </c>
      <c r="R105" s="188">
        <v>1000000</v>
      </c>
      <c r="S105" t="e">
        <v>#N/A</v>
      </c>
    </row>
    <row r="106" spans="1:19" ht="15" x14ac:dyDescent="0.25">
      <c r="A106" t="s">
        <v>135</v>
      </c>
      <c r="B106" s="156">
        <v>0.06</v>
      </c>
      <c r="C106" s="156">
        <v>0.06</v>
      </c>
      <c r="D106" s="156">
        <v>20</v>
      </c>
      <c r="E106" s="157">
        <v>0.9</v>
      </c>
      <c r="F106" s="157">
        <v>0.6</v>
      </c>
      <c r="G106" s="157">
        <v>1800</v>
      </c>
      <c r="H106" s="158" t="s">
        <v>358</v>
      </c>
      <c r="I106" s="157">
        <v>0.06</v>
      </c>
      <c r="J106" s="181">
        <v>60000000000</v>
      </c>
      <c r="K106" s="159">
        <v>60000000000</v>
      </c>
      <c r="L106" s="159">
        <v>20000000000000</v>
      </c>
      <c r="M106" s="157">
        <v>900000000000</v>
      </c>
      <c r="N106" s="157">
        <v>600000000000</v>
      </c>
      <c r="O106" s="157">
        <v>1800000000000000</v>
      </c>
      <c r="P106" s="156">
        <v>60000000000</v>
      </c>
      <c r="Q106" s="183">
        <v>10</v>
      </c>
      <c r="R106" s="188">
        <v>1000000</v>
      </c>
      <c r="S106">
        <v>8.8000000000000007</v>
      </c>
    </row>
    <row r="107" spans="1:19" ht="15" x14ac:dyDescent="0.25">
      <c r="A107" t="s">
        <v>136</v>
      </c>
      <c r="B107" s="156">
        <v>2</v>
      </c>
      <c r="C107" s="156">
        <v>2</v>
      </c>
      <c r="D107" s="156">
        <v>100</v>
      </c>
      <c r="E107" s="157">
        <v>20</v>
      </c>
      <c r="F107" s="157">
        <v>3</v>
      </c>
      <c r="G107" s="157">
        <v>9000</v>
      </c>
      <c r="H107" s="158" t="s">
        <v>358</v>
      </c>
      <c r="I107" s="157">
        <v>2</v>
      </c>
      <c r="J107" s="181">
        <v>2000000000000</v>
      </c>
      <c r="K107" s="159">
        <v>2000000000000</v>
      </c>
      <c r="L107" s="159">
        <v>100000000000000</v>
      </c>
      <c r="M107" s="157">
        <v>20000000000000</v>
      </c>
      <c r="N107" s="157">
        <v>3000000000000</v>
      </c>
      <c r="O107" s="157">
        <v>9000000000000000</v>
      </c>
      <c r="P107" s="156">
        <v>2000000000000</v>
      </c>
      <c r="Q107" s="183">
        <v>100</v>
      </c>
      <c r="R107" s="188">
        <v>10000000</v>
      </c>
      <c r="S107">
        <v>4.96</v>
      </c>
    </row>
    <row r="108" spans="1:19" ht="15" x14ac:dyDescent="0.25">
      <c r="A108" t="s">
        <v>386</v>
      </c>
      <c r="B108" s="156">
        <v>0.05</v>
      </c>
      <c r="C108" s="156">
        <v>0.05</v>
      </c>
      <c r="D108" s="156">
        <v>30</v>
      </c>
      <c r="E108" s="157">
        <v>0.7</v>
      </c>
      <c r="F108" s="157">
        <v>0.7</v>
      </c>
      <c r="G108" s="157">
        <v>2100</v>
      </c>
      <c r="H108" s="158" t="s">
        <v>358</v>
      </c>
      <c r="I108" s="157">
        <v>0.05</v>
      </c>
      <c r="J108" s="181">
        <v>50000000000</v>
      </c>
      <c r="K108" s="159">
        <v>50000000000</v>
      </c>
      <c r="L108" s="159">
        <v>30000000000000</v>
      </c>
      <c r="M108" s="157">
        <v>700000000000</v>
      </c>
      <c r="N108" s="157">
        <v>700000000000</v>
      </c>
      <c r="O108" s="157">
        <v>2100000000000000</v>
      </c>
      <c r="P108" s="156">
        <v>50000000000</v>
      </c>
      <c r="Q108" s="183">
        <v>10</v>
      </c>
      <c r="R108" s="188">
        <v>1000000</v>
      </c>
      <c r="S108" t="e">
        <v>#N/A</v>
      </c>
    </row>
    <row r="109" spans="1:19" ht="15" x14ac:dyDescent="0.25">
      <c r="A109" t="s">
        <v>10</v>
      </c>
      <c r="B109" s="156">
        <v>0.06</v>
      </c>
      <c r="C109" s="156">
        <v>0.06</v>
      </c>
      <c r="D109" s="156">
        <v>30</v>
      </c>
      <c r="E109" s="157">
        <v>1</v>
      </c>
      <c r="F109" s="157">
        <v>0.6</v>
      </c>
      <c r="G109" s="157">
        <v>1800</v>
      </c>
      <c r="H109" s="158" t="s">
        <v>358</v>
      </c>
      <c r="I109" s="157">
        <v>0.06</v>
      </c>
      <c r="J109" s="181">
        <v>60000000000</v>
      </c>
      <c r="K109" s="159">
        <v>60000000000</v>
      </c>
      <c r="L109" s="159">
        <v>30000000000000</v>
      </c>
      <c r="M109" s="157">
        <v>1000000000000</v>
      </c>
      <c r="N109" s="157">
        <v>600000000000</v>
      </c>
      <c r="O109" s="157">
        <v>1800000000000000</v>
      </c>
      <c r="P109" s="156">
        <v>60000000000</v>
      </c>
      <c r="Q109" s="183">
        <v>10</v>
      </c>
      <c r="R109" s="188">
        <v>1000000</v>
      </c>
      <c r="S109">
        <v>2.0873199999999999E-4</v>
      </c>
    </row>
    <row r="110" spans="1:19" ht="15" x14ac:dyDescent="0.25">
      <c r="A110" t="s">
        <v>32</v>
      </c>
      <c r="B110" s="156">
        <v>0.02</v>
      </c>
      <c r="C110" s="156">
        <v>0.02</v>
      </c>
      <c r="D110" s="156">
        <v>9</v>
      </c>
      <c r="E110" s="157">
        <v>0.3</v>
      </c>
      <c r="F110" s="157">
        <v>0.3</v>
      </c>
      <c r="G110" s="157">
        <v>900</v>
      </c>
      <c r="H110" s="158" t="s">
        <v>358</v>
      </c>
      <c r="I110" s="157">
        <v>0.02</v>
      </c>
      <c r="J110" s="181">
        <v>20000000000</v>
      </c>
      <c r="K110" s="159">
        <v>20000000000</v>
      </c>
      <c r="L110" s="159">
        <v>9000000000000</v>
      </c>
      <c r="M110" s="157">
        <v>300000000000</v>
      </c>
      <c r="N110" s="157">
        <v>300000000000</v>
      </c>
      <c r="O110" s="157">
        <v>900000000000000</v>
      </c>
      <c r="P110" s="156">
        <v>20000000000</v>
      </c>
      <c r="Q110" s="183">
        <v>10</v>
      </c>
      <c r="R110" s="188">
        <v>1000000</v>
      </c>
      <c r="S110" t="e">
        <v>#N/A</v>
      </c>
    </row>
    <row r="111" spans="1:19" ht="15" x14ac:dyDescent="0.25">
      <c r="A111" t="s">
        <v>33</v>
      </c>
      <c r="B111" s="156">
        <v>800</v>
      </c>
      <c r="C111" s="156" t="s">
        <v>362</v>
      </c>
      <c r="D111" s="156">
        <v>800</v>
      </c>
      <c r="E111" s="157">
        <v>40</v>
      </c>
      <c r="F111" s="157">
        <v>40</v>
      </c>
      <c r="G111" s="160">
        <v>8000</v>
      </c>
      <c r="H111" s="158" t="s">
        <v>361</v>
      </c>
      <c r="I111" s="157">
        <v>800</v>
      </c>
      <c r="J111" s="181">
        <v>800000000000000</v>
      </c>
      <c r="K111" s="159" t="s">
        <v>362</v>
      </c>
      <c r="L111" s="159">
        <v>800000000000000</v>
      </c>
      <c r="M111" s="157">
        <v>40000000000000</v>
      </c>
      <c r="N111" s="157">
        <v>40000000000000</v>
      </c>
      <c r="O111" s="157">
        <v>8000000000000000</v>
      </c>
      <c r="P111" s="156">
        <v>800000000000000</v>
      </c>
      <c r="Q111" s="183">
        <v>10000</v>
      </c>
      <c r="R111" s="188">
        <v>1000000</v>
      </c>
      <c r="S111">
        <v>2.7</v>
      </c>
    </row>
    <row r="112" spans="1:19" ht="15" x14ac:dyDescent="0.25">
      <c r="A112" t="s">
        <v>34</v>
      </c>
      <c r="B112" s="156">
        <v>0.06</v>
      </c>
      <c r="C112" s="156">
        <v>0.06</v>
      </c>
      <c r="D112" s="156">
        <v>10</v>
      </c>
      <c r="E112" s="157">
        <v>0.9</v>
      </c>
      <c r="F112" s="157">
        <v>0.9</v>
      </c>
      <c r="G112" s="157">
        <v>2700</v>
      </c>
      <c r="H112" s="158" t="s">
        <v>358</v>
      </c>
      <c r="I112" s="157">
        <v>0.06</v>
      </c>
      <c r="J112" s="181">
        <v>60000000000</v>
      </c>
      <c r="K112" s="159">
        <v>60000000000</v>
      </c>
      <c r="L112" s="159">
        <v>10000000000000</v>
      </c>
      <c r="M112" s="157">
        <v>900000000000</v>
      </c>
      <c r="N112" s="157">
        <v>900000000000</v>
      </c>
      <c r="O112" s="157">
        <v>2700000000000000</v>
      </c>
      <c r="P112" s="156">
        <v>60000000000</v>
      </c>
      <c r="Q112" s="183">
        <v>10</v>
      </c>
      <c r="R112" s="188">
        <v>1000000</v>
      </c>
      <c r="S112">
        <v>0.12183436002737801</v>
      </c>
    </row>
    <row r="113" spans="1:19" ht="15" x14ac:dyDescent="0.25">
      <c r="A113" t="s">
        <v>387</v>
      </c>
      <c r="B113" s="156">
        <v>0.06</v>
      </c>
      <c r="C113" s="156">
        <v>0.06</v>
      </c>
      <c r="D113" s="156">
        <v>10</v>
      </c>
      <c r="E113" s="157">
        <v>40</v>
      </c>
      <c r="F113" s="157">
        <v>0.2</v>
      </c>
      <c r="G113" s="157">
        <v>600</v>
      </c>
      <c r="H113" s="158" t="s">
        <v>358</v>
      </c>
      <c r="I113" s="157">
        <v>0.06</v>
      </c>
      <c r="J113" s="181">
        <v>60000000000</v>
      </c>
      <c r="K113" s="159">
        <v>60000000000</v>
      </c>
      <c r="L113" s="159">
        <v>10000000000000</v>
      </c>
      <c r="M113" s="157">
        <v>40000000000000</v>
      </c>
      <c r="N113" s="157">
        <v>200000000000</v>
      </c>
      <c r="O113" s="157">
        <v>600000000000000</v>
      </c>
      <c r="P113" s="156">
        <v>60000000000</v>
      </c>
      <c r="Q113" s="183">
        <v>100</v>
      </c>
      <c r="R113" s="188">
        <v>100000</v>
      </c>
      <c r="S113" t="e">
        <v>#N/A</v>
      </c>
    </row>
    <row r="114" spans="1:19" ht="15" x14ac:dyDescent="0.25">
      <c r="A114" t="s">
        <v>260</v>
      </c>
      <c r="B114" s="156">
        <v>0.5</v>
      </c>
      <c r="C114" s="156">
        <v>0.5</v>
      </c>
      <c r="D114" s="156">
        <v>400</v>
      </c>
      <c r="E114" s="157">
        <v>7</v>
      </c>
      <c r="F114" s="157">
        <v>3</v>
      </c>
      <c r="G114" s="157">
        <v>9000</v>
      </c>
      <c r="H114" s="158" t="s">
        <v>358</v>
      </c>
      <c r="I114" s="157">
        <v>0.5</v>
      </c>
      <c r="J114" s="181">
        <v>500000000000</v>
      </c>
      <c r="K114" s="159">
        <v>500000000000</v>
      </c>
      <c r="L114" s="159">
        <v>400000000000000</v>
      </c>
      <c r="M114" s="157">
        <v>7000000000000</v>
      </c>
      <c r="N114" s="157">
        <v>3000000000000</v>
      </c>
      <c r="O114" s="157">
        <v>9000000000000000</v>
      </c>
      <c r="P114" s="156">
        <v>500000000000</v>
      </c>
      <c r="Q114" s="183">
        <v>100</v>
      </c>
      <c r="R114" s="188">
        <v>1000000</v>
      </c>
      <c r="S114">
        <v>8.9253935660506996E-3</v>
      </c>
    </row>
    <row r="115" spans="1:19" ht="15" x14ac:dyDescent="0.25">
      <c r="A115" t="s">
        <v>388</v>
      </c>
      <c r="B115" s="156">
        <v>7.0000000000000007E-2</v>
      </c>
      <c r="C115" s="156">
        <v>7.0000000000000007E-2</v>
      </c>
      <c r="D115" s="156">
        <v>10</v>
      </c>
      <c r="E115" s="157">
        <v>0.5</v>
      </c>
      <c r="F115" s="157">
        <v>0.5</v>
      </c>
      <c r="G115" s="157">
        <v>1500</v>
      </c>
      <c r="H115" s="158" t="s">
        <v>358</v>
      </c>
      <c r="I115" s="157">
        <v>7.0000000000000007E-2</v>
      </c>
      <c r="J115" s="181">
        <v>70000000000</v>
      </c>
      <c r="K115" s="159">
        <v>70000000000</v>
      </c>
      <c r="L115" s="159">
        <v>10000000000000</v>
      </c>
      <c r="M115" s="157">
        <v>500000000000</v>
      </c>
      <c r="N115" s="157">
        <v>500000000000</v>
      </c>
      <c r="O115" s="157">
        <v>1500000000000000</v>
      </c>
      <c r="P115" s="156">
        <v>70000000000</v>
      </c>
      <c r="Q115" s="183">
        <v>10</v>
      </c>
      <c r="R115" s="188">
        <v>100000</v>
      </c>
      <c r="S115">
        <v>1.2985778386189999E-4</v>
      </c>
    </row>
    <row r="116" spans="1:19" ht="15" x14ac:dyDescent="0.25">
      <c r="A116" t="s">
        <v>47</v>
      </c>
      <c r="B116" s="156">
        <v>0.03</v>
      </c>
      <c r="C116" s="156">
        <v>0.03</v>
      </c>
      <c r="D116" s="156">
        <v>20</v>
      </c>
      <c r="E116" s="157">
        <v>0.4</v>
      </c>
      <c r="F116" s="157">
        <v>0.4</v>
      </c>
      <c r="G116" s="157">
        <v>1200</v>
      </c>
      <c r="H116" s="158" t="s">
        <v>358</v>
      </c>
      <c r="I116" s="157">
        <v>0.03</v>
      </c>
      <c r="J116" s="181">
        <v>30000000000</v>
      </c>
      <c r="K116" s="159">
        <v>30000000000</v>
      </c>
      <c r="L116" s="159">
        <v>20000000000000</v>
      </c>
      <c r="M116" s="157">
        <v>400000000000</v>
      </c>
      <c r="N116" s="157">
        <v>400000000000</v>
      </c>
      <c r="O116" s="157">
        <v>1200000000000000</v>
      </c>
      <c r="P116" s="156">
        <v>30000000000</v>
      </c>
      <c r="Q116" s="183">
        <v>10</v>
      </c>
      <c r="R116" s="188">
        <v>100000</v>
      </c>
      <c r="S116" t="e">
        <v>#N/A</v>
      </c>
    </row>
    <row r="117" spans="1:19" ht="15" x14ac:dyDescent="0.25">
      <c r="A117" t="s">
        <v>389</v>
      </c>
      <c r="B117" s="156">
        <v>0.03</v>
      </c>
      <c r="C117" s="156">
        <v>0.03</v>
      </c>
      <c r="D117" s="156">
        <v>8</v>
      </c>
      <c r="E117" s="157">
        <v>0.5</v>
      </c>
      <c r="F117" s="157">
        <v>0.5</v>
      </c>
      <c r="G117" s="157">
        <v>1500</v>
      </c>
      <c r="H117" s="158" t="s">
        <v>358</v>
      </c>
      <c r="I117" s="157">
        <v>0.03</v>
      </c>
      <c r="J117" s="181">
        <v>30000000000</v>
      </c>
      <c r="K117" s="159">
        <v>30000000000</v>
      </c>
      <c r="L117" s="159">
        <v>8000000000000</v>
      </c>
      <c r="M117" s="157">
        <v>500000000000</v>
      </c>
      <c r="N117" s="157">
        <v>500000000000</v>
      </c>
      <c r="O117" s="157">
        <v>1500000000000000</v>
      </c>
      <c r="P117" s="156">
        <v>30000000000</v>
      </c>
      <c r="Q117" s="183">
        <v>10</v>
      </c>
      <c r="R117" s="188">
        <v>1000000</v>
      </c>
      <c r="S117" t="e">
        <v>#N/A</v>
      </c>
    </row>
    <row r="118" spans="1:19" ht="15" x14ac:dyDescent="0.25">
      <c r="A118" t="s">
        <v>390</v>
      </c>
      <c r="B118" s="156">
        <v>0.4</v>
      </c>
      <c r="C118" s="156" t="s">
        <v>362</v>
      </c>
      <c r="D118" s="156">
        <v>0.4</v>
      </c>
      <c r="E118" s="157">
        <v>20</v>
      </c>
      <c r="F118" s="157">
        <v>2E-3</v>
      </c>
      <c r="G118" s="157">
        <v>6</v>
      </c>
      <c r="H118" s="158" t="s">
        <v>358</v>
      </c>
      <c r="I118" s="157">
        <v>0.4</v>
      </c>
      <c r="J118" s="181">
        <v>400000000000</v>
      </c>
      <c r="K118" s="159" t="s">
        <v>362</v>
      </c>
      <c r="L118" s="159">
        <v>400000000000</v>
      </c>
      <c r="M118" s="157">
        <v>20000000000000</v>
      </c>
      <c r="N118" s="157">
        <v>2000000000</v>
      </c>
      <c r="O118" s="157">
        <v>6000000000000</v>
      </c>
      <c r="P118" s="156">
        <v>400000000000</v>
      </c>
      <c r="Q118" s="183">
        <v>10</v>
      </c>
      <c r="R118" s="188">
        <v>10000</v>
      </c>
      <c r="S118" t="e">
        <v>#N/A</v>
      </c>
    </row>
    <row r="119" spans="1:19" ht="15" x14ac:dyDescent="0.25">
      <c r="A119" t="s">
        <v>137</v>
      </c>
      <c r="B119" s="156">
        <v>1</v>
      </c>
      <c r="C119" s="156">
        <v>1</v>
      </c>
      <c r="D119" s="156">
        <v>80</v>
      </c>
      <c r="E119" s="157">
        <v>10</v>
      </c>
      <c r="F119" s="157">
        <v>9</v>
      </c>
      <c r="G119" s="160">
        <v>10</v>
      </c>
      <c r="H119" s="158" t="s">
        <v>361</v>
      </c>
      <c r="I119" s="163">
        <v>1</v>
      </c>
      <c r="J119" s="181">
        <v>1000000000000</v>
      </c>
      <c r="K119" s="159">
        <v>1000000000000</v>
      </c>
      <c r="L119" s="159">
        <v>80000000000000</v>
      </c>
      <c r="M119" s="157">
        <v>10000000000000</v>
      </c>
      <c r="N119" s="157">
        <v>9000000000000</v>
      </c>
      <c r="O119" s="157">
        <v>10000000000000</v>
      </c>
      <c r="P119" s="156">
        <v>1000000000000</v>
      </c>
      <c r="Q119" s="183">
        <v>100</v>
      </c>
      <c r="R119" s="188">
        <v>10000000</v>
      </c>
      <c r="S119">
        <v>0.66255989048596797</v>
      </c>
    </row>
    <row r="120" spans="1:19" ht="15" x14ac:dyDescent="0.25">
      <c r="A120" t="s">
        <v>138</v>
      </c>
      <c r="B120" s="156">
        <v>2</v>
      </c>
      <c r="C120" s="156">
        <v>2</v>
      </c>
      <c r="D120" s="156">
        <v>30</v>
      </c>
      <c r="E120" s="157">
        <v>3</v>
      </c>
      <c r="F120" s="157">
        <v>0.6</v>
      </c>
      <c r="G120" s="157">
        <v>1800</v>
      </c>
      <c r="H120" s="158" t="s">
        <v>358</v>
      </c>
      <c r="I120" s="157">
        <v>2</v>
      </c>
      <c r="J120" s="181">
        <v>2000000000000</v>
      </c>
      <c r="K120" s="159">
        <v>2000000000000</v>
      </c>
      <c r="L120" s="159">
        <v>30000000000000</v>
      </c>
      <c r="M120" s="157">
        <v>3000000000000</v>
      </c>
      <c r="N120" s="157">
        <v>600000000000</v>
      </c>
      <c r="O120" s="157">
        <v>1800000000000000</v>
      </c>
      <c r="P120" s="156">
        <v>2000000000000</v>
      </c>
      <c r="Q120" s="183">
        <v>1000</v>
      </c>
      <c r="R120" s="188">
        <v>1000000</v>
      </c>
      <c r="S120" t="e">
        <v>#N/A</v>
      </c>
    </row>
    <row r="121" spans="1:19" ht="15" x14ac:dyDescent="0.25">
      <c r="A121" t="s">
        <v>305</v>
      </c>
      <c r="B121" s="156">
        <v>7.0000000000000007E-2</v>
      </c>
      <c r="C121" s="156">
        <v>7.0000000000000007E-2</v>
      </c>
      <c r="D121" s="156">
        <v>20</v>
      </c>
      <c r="E121" s="157">
        <v>0.5</v>
      </c>
      <c r="F121" s="157">
        <v>0.5</v>
      </c>
      <c r="G121" s="160">
        <v>7</v>
      </c>
      <c r="H121" s="158" t="s">
        <v>361</v>
      </c>
      <c r="I121" s="157">
        <v>7.0000000000000007E-2</v>
      </c>
      <c r="J121" s="181">
        <v>70000000000</v>
      </c>
      <c r="K121" s="159">
        <v>70000000000</v>
      </c>
      <c r="L121" s="159">
        <v>20000000000000</v>
      </c>
      <c r="M121" s="157">
        <v>500000000000</v>
      </c>
      <c r="N121" s="157">
        <v>500000000000</v>
      </c>
      <c r="O121" s="157">
        <v>7000000000000</v>
      </c>
      <c r="P121" s="156">
        <v>70000000000</v>
      </c>
      <c r="Q121" s="183">
        <v>10</v>
      </c>
      <c r="R121" s="188">
        <v>100000</v>
      </c>
      <c r="S121">
        <v>0.78850102669404498</v>
      </c>
    </row>
    <row r="122" spans="1:19" ht="15" x14ac:dyDescent="0.25">
      <c r="A122" t="s">
        <v>48</v>
      </c>
      <c r="B122" s="156">
        <v>1000</v>
      </c>
      <c r="C122" s="156">
        <v>600000</v>
      </c>
      <c r="D122" s="156">
        <v>1000</v>
      </c>
      <c r="E122" s="157">
        <v>40</v>
      </c>
      <c r="F122" s="157">
        <v>40</v>
      </c>
      <c r="G122" s="157">
        <v>120000</v>
      </c>
      <c r="H122" s="158" t="s">
        <v>358</v>
      </c>
      <c r="I122" s="157">
        <v>1000</v>
      </c>
      <c r="J122" s="181">
        <v>1000000000000000</v>
      </c>
      <c r="K122" s="159">
        <v>6E+17</v>
      </c>
      <c r="L122" s="159">
        <v>1000000000000000</v>
      </c>
      <c r="M122" s="157">
        <v>40000000000000</v>
      </c>
      <c r="N122" s="157">
        <v>40000000000000</v>
      </c>
      <c r="O122" s="157">
        <v>1.2E+17</v>
      </c>
      <c r="P122" s="156">
        <v>1000000000000000</v>
      </c>
      <c r="Q122" s="183">
        <v>10000</v>
      </c>
      <c r="R122" s="188">
        <v>100000000</v>
      </c>
      <c r="S122" t="e">
        <v>#N/A</v>
      </c>
    </row>
    <row r="123" spans="1:19" ht="15" x14ac:dyDescent="0.25">
      <c r="A123" t="s">
        <v>391</v>
      </c>
      <c r="B123" s="156">
        <v>0.06</v>
      </c>
      <c r="C123" s="156">
        <v>0.06</v>
      </c>
      <c r="D123" s="156">
        <v>10</v>
      </c>
      <c r="E123" s="157">
        <v>0.3</v>
      </c>
      <c r="F123" s="157">
        <v>0.3</v>
      </c>
      <c r="G123" s="157">
        <v>900</v>
      </c>
      <c r="H123" s="158" t="s">
        <v>358</v>
      </c>
      <c r="I123" s="157">
        <v>0.06</v>
      </c>
      <c r="J123" s="181">
        <v>60000000000</v>
      </c>
      <c r="K123" s="159">
        <v>60000000000</v>
      </c>
      <c r="L123" s="159">
        <v>10000000000000</v>
      </c>
      <c r="M123" s="157">
        <v>300000000000</v>
      </c>
      <c r="N123" s="157">
        <v>300000000000</v>
      </c>
      <c r="O123" s="157">
        <v>900000000000000</v>
      </c>
      <c r="P123" s="156">
        <v>60000000000</v>
      </c>
      <c r="Q123" s="183">
        <v>10</v>
      </c>
      <c r="R123" s="188">
        <v>100000</v>
      </c>
      <c r="S123" t="e">
        <v>#N/A</v>
      </c>
    </row>
    <row r="124" spans="1:19" ht="15" x14ac:dyDescent="0.25">
      <c r="A124" t="s">
        <v>7</v>
      </c>
      <c r="B124" s="156">
        <v>2000</v>
      </c>
      <c r="C124" s="156" t="s">
        <v>362</v>
      </c>
      <c r="D124" s="156">
        <v>2000</v>
      </c>
      <c r="E124" s="157">
        <v>40</v>
      </c>
      <c r="F124" s="157">
        <v>40</v>
      </c>
      <c r="G124" s="157">
        <v>120000</v>
      </c>
      <c r="H124" s="158" t="s">
        <v>358</v>
      </c>
      <c r="I124" s="157">
        <v>2000</v>
      </c>
      <c r="J124" s="181">
        <v>2000000000000000</v>
      </c>
      <c r="K124" s="159" t="s">
        <v>362</v>
      </c>
      <c r="L124" s="159">
        <v>2000000000000000</v>
      </c>
      <c r="M124" s="157">
        <v>40000000000000</v>
      </c>
      <c r="N124" s="157">
        <v>40000000000000</v>
      </c>
      <c r="O124" s="157">
        <v>1.2E+17</v>
      </c>
      <c r="P124" s="156">
        <v>2000000000000000</v>
      </c>
      <c r="Q124" s="183">
        <v>1000000</v>
      </c>
      <c r="R124" s="188">
        <v>1000000000</v>
      </c>
      <c r="S124">
        <v>12.3</v>
      </c>
    </row>
    <row r="125" spans="1:19" ht="15" x14ac:dyDescent="0.25">
      <c r="A125" t="s">
        <v>392</v>
      </c>
      <c r="B125" s="156">
        <v>0.04</v>
      </c>
      <c r="C125" s="156">
        <v>0.04</v>
      </c>
      <c r="D125" s="156">
        <v>6</v>
      </c>
      <c r="E125" s="157">
        <v>0.6</v>
      </c>
      <c r="F125" s="157">
        <v>0.6</v>
      </c>
      <c r="G125" s="157">
        <v>1800</v>
      </c>
      <c r="H125" s="158" t="s">
        <v>358</v>
      </c>
      <c r="I125" s="157">
        <v>0.04</v>
      </c>
      <c r="J125" s="181">
        <v>40000000000</v>
      </c>
      <c r="K125" s="159">
        <v>40000000000</v>
      </c>
      <c r="L125" s="159">
        <v>6000000000000</v>
      </c>
      <c r="M125" s="157">
        <v>600000000000</v>
      </c>
      <c r="N125" s="157">
        <v>600000000000</v>
      </c>
      <c r="O125" s="157">
        <v>1800000000000000</v>
      </c>
      <c r="P125" s="156">
        <v>40000000000</v>
      </c>
      <c r="Q125" s="183">
        <v>10</v>
      </c>
      <c r="R125" s="188">
        <v>1000000</v>
      </c>
      <c r="S125" t="e">
        <v>#N/A</v>
      </c>
    </row>
    <row r="126" spans="1:19" ht="15" x14ac:dyDescent="0.25">
      <c r="A126" t="s">
        <v>393</v>
      </c>
      <c r="B126" s="156">
        <v>0.2</v>
      </c>
      <c r="C126" s="156">
        <v>0.2</v>
      </c>
      <c r="D126" s="156">
        <v>30</v>
      </c>
      <c r="E126" s="157">
        <v>3</v>
      </c>
      <c r="F126" s="157">
        <v>3</v>
      </c>
      <c r="G126" s="157">
        <v>9000</v>
      </c>
      <c r="H126" s="158" t="s">
        <v>358</v>
      </c>
      <c r="I126" s="157">
        <v>0.2</v>
      </c>
      <c r="J126" s="181">
        <v>200000000000</v>
      </c>
      <c r="K126" s="159">
        <v>200000000000</v>
      </c>
      <c r="L126" s="159">
        <v>30000000000000</v>
      </c>
      <c r="M126" s="157">
        <v>3000000000000</v>
      </c>
      <c r="N126" s="157">
        <v>3000000000000</v>
      </c>
      <c r="O126" s="157">
        <v>9000000000000000</v>
      </c>
      <c r="P126" s="156">
        <v>200000000000</v>
      </c>
      <c r="Q126" s="183">
        <v>100</v>
      </c>
      <c r="R126" s="188">
        <v>1000000</v>
      </c>
      <c r="S126" t="e">
        <v>#N/A</v>
      </c>
    </row>
    <row r="127" spans="1:19" ht="15" x14ac:dyDescent="0.25">
      <c r="A127" t="s">
        <v>149</v>
      </c>
      <c r="B127" s="156">
        <v>0.1</v>
      </c>
      <c r="C127" s="156">
        <v>0.1</v>
      </c>
      <c r="D127" s="156">
        <v>10</v>
      </c>
      <c r="E127" s="157">
        <v>2</v>
      </c>
      <c r="F127" s="157">
        <v>0.5</v>
      </c>
      <c r="G127" s="157">
        <v>1500</v>
      </c>
      <c r="H127" s="158" t="s">
        <v>358</v>
      </c>
      <c r="I127" s="157">
        <v>0.1</v>
      </c>
      <c r="J127" s="181">
        <v>100000000000</v>
      </c>
      <c r="K127" s="159">
        <v>100000000000</v>
      </c>
      <c r="L127" s="159">
        <v>10000000000000</v>
      </c>
      <c r="M127" s="157">
        <v>2000000000000</v>
      </c>
      <c r="N127" s="157">
        <v>500000000000</v>
      </c>
      <c r="O127" s="157">
        <v>1500000000000000</v>
      </c>
      <c r="P127" s="156">
        <v>100000000000</v>
      </c>
      <c r="Q127" s="183">
        <v>10</v>
      </c>
      <c r="R127" s="188">
        <v>1000000</v>
      </c>
      <c r="S127">
        <v>0.116084873374401</v>
      </c>
    </row>
    <row r="128" spans="1:19" ht="15" x14ac:dyDescent="0.25">
      <c r="A128" t="s">
        <v>394</v>
      </c>
      <c r="B128" s="156">
        <v>0.05</v>
      </c>
      <c r="C128" s="156">
        <v>0.05</v>
      </c>
      <c r="D128" s="156" t="s">
        <v>362</v>
      </c>
      <c r="E128" s="157" t="s">
        <v>362</v>
      </c>
      <c r="F128" s="157" t="s">
        <v>362</v>
      </c>
      <c r="G128" s="157" t="s">
        <v>362</v>
      </c>
      <c r="H128" s="161" t="s">
        <v>362</v>
      </c>
      <c r="I128" s="157">
        <v>0.05</v>
      </c>
      <c r="J128" s="181">
        <v>50000000000</v>
      </c>
      <c r="K128" s="159">
        <v>50000000000</v>
      </c>
      <c r="L128" s="159" t="s">
        <v>362</v>
      </c>
      <c r="M128" s="157" t="s">
        <v>362</v>
      </c>
      <c r="N128" s="157" t="s">
        <v>362</v>
      </c>
      <c r="O128" s="157" t="s">
        <v>362</v>
      </c>
      <c r="P128" s="156">
        <v>50000000000</v>
      </c>
      <c r="Q128" s="183">
        <v>100</v>
      </c>
      <c r="R128" s="188">
        <v>1000000</v>
      </c>
      <c r="S128" t="e">
        <v>#N/A</v>
      </c>
    </row>
    <row r="129" spans="1:19" ht="15" x14ac:dyDescent="0.25">
      <c r="A129" t="s">
        <v>395</v>
      </c>
      <c r="B129" s="156">
        <v>7.0000000000000007E-2</v>
      </c>
      <c r="C129" s="156">
        <v>7.0000000000000007E-2</v>
      </c>
      <c r="D129" s="156">
        <v>9</v>
      </c>
      <c r="E129" s="157">
        <v>1</v>
      </c>
      <c r="F129" s="157">
        <v>1</v>
      </c>
      <c r="G129" s="157">
        <v>3000</v>
      </c>
      <c r="H129" s="158" t="s">
        <v>358</v>
      </c>
      <c r="I129" s="157">
        <v>7.0000000000000007E-2</v>
      </c>
      <c r="J129" s="181">
        <v>70000000000</v>
      </c>
      <c r="K129" s="159">
        <v>70000000000</v>
      </c>
      <c r="L129" s="159">
        <v>9000000000000</v>
      </c>
      <c r="M129" s="157">
        <v>1000000000000</v>
      </c>
      <c r="N129" s="157">
        <v>1000000000000</v>
      </c>
      <c r="O129" s="157">
        <v>3000000000000000</v>
      </c>
      <c r="P129" s="156">
        <v>70000000000</v>
      </c>
      <c r="Q129" s="183">
        <v>10</v>
      </c>
      <c r="R129" s="188">
        <v>1000000</v>
      </c>
      <c r="S129" t="e">
        <v>#N/A</v>
      </c>
    </row>
    <row r="130" spans="1:19" ht="15" x14ac:dyDescent="0.25">
      <c r="A130" t="s">
        <v>396</v>
      </c>
      <c r="B130" s="156">
        <v>0.2</v>
      </c>
      <c r="C130" s="156">
        <v>0.2</v>
      </c>
      <c r="D130" s="156">
        <v>10</v>
      </c>
      <c r="E130" s="157">
        <v>3</v>
      </c>
      <c r="F130" s="157">
        <v>0.7</v>
      </c>
      <c r="G130" s="157">
        <v>2100</v>
      </c>
      <c r="H130" s="158" t="s">
        <v>358</v>
      </c>
      <c r="I130" s="157">
        <v>0.2</v>
      </c>
      <c r="J130" s="181">
        <v>200000000000</v>
      </c>
      <c r="K130" s="159">
        <v>200000000000</v>
      </c>
      <c r="L130" s="159">
        <v>10000000000000</v>
      </c>
      <c r="M130" s="157">
        <v>3000000000000</v>
      </c>
      <c r="N130" s="157">
        <v>700000000000</v>
      </c>
      <c r="O130" s="157">
        <v>2100000000000000</v>
      </c>
      <c r="P130" s="156">
        <v>200000000000</v>
      </c>
      <c r="Q130" s="183">
        <v>100</v>
      </c>
      <c r="R130" s="188">
        <v>1000000</v>
      </c>
      <c r="S130" t="e">
        <v>#N/A</v>
      </c>
    </row>
    <row r="131" spans="1:19" ht="15" x14ac:dyDescent="0.25">
      <c r="A131" t="s">
        <v>166</v>
      </c>
      <c r="B131" s="156">
        <v>2</v>
      </c>
      <c r="C131" s="156">
        <v>2</v>
      </c>
      <c r="D131" s="156">
        <v>30</v>
      </c>
      <c r="E131" s="157">
        <v>20</v>
      </c>
      <c r="F131" s="157">
        <v>10</v>
      </c>
      <c r="G131" s="157">
        <v>30000</v>
      </c>
      <c r="H131" s="158" t="s">
        <v>358</v>
      </c>
      <c r="I131" s="157">
        <v>2</v>
      </c>
      <c r="J131" s="181">
        <v>2000000000000</v>
      </c>
      <c r="K131" s="159">
        <v>2000000000000</v>
      </c>
      <c r="L131" s="159">
        <v>30000000000000</v>
      </c>
      <c r="M131" s="157">
        <v>20000000000000</v>
      </c>
      <c r="N131" s="157">
        <v>10000000000000</v>
      </c>
      <c r="O131" s="157">
        <v>3E+16</v>
      </c>
      <c r="P131" s="156">
        <v>2000000000000</v>
      </c>
      <c r="Q131" s="183">
        <v>100</v>
      </c>
      <c r="R131" s="188">
        <v>10000000</v>
      </c>
      <c r="S131">
        <v>7.3100616016426997E-3</v>
      </c>
    </row>
    <row r="132" spans="1:19" ht="15" x14ac:dyDescent="0.25">
      <c r="A132" t="s">
        <v>167</v>
      </c>
      <c r="B132" s="156">
        <v>0.7</v>
      </c>
      <c r="C132" s="156">
        <v>0.7</v>
      </c>
      <c r="D132" s="156">
        <v>20</v>
      </c>
      <c r="E132" s="157">
        <v>10</v>
      </c>
      <c r="F132" s="157">
        <v>0.4</v>
      </c>
      <c r="G132" s="157">
        <v>1200</v>
      </c>
      <c r="H132" s="158" t="s">
        <v>358</v>
      </c>
      <c r="I132" s="157">
        <v>0.7</v>
      </c>
      <c r="J132" s="181">
        <v>700000000000</v>
      </c>
      <c r="K132" s="159">
        <v>700000000000</v>
      </c>
      <c r="L132" s="159">
        <v>20000000000000</v>
      </c>
      <c r="M132" s="157">
        <v>10000000000000</v>
      </c>
      <c r="N132" s="157">
        <v>400000000000</v>
      </c>
      <c r="O132" s="157">
        <v>1200000000000000</v>
      </c>
      <c r="P132" s="156">
        <v>700000000000</v>
      </c>
      <c r="Q132" s="183">
        <v>100</v>
      </c>
      <c r="R132" s="188">
        <v>1000000</v>
      </c>
      <c r="S132" t="e">
        <v>#N/A</v>
      </c>
    </row>
    <row r="133" spans="1:19" ht="15" x14ac:dyDescent="0.25">
      <c r="A133" t="s">
        <v>168</v>
      </c>
      <c r="B133" s="156">
        <v>0.3</v>
      </c>
      <c r="C133" s="156">
        <v>0.3</v>
      </c>
      <c r="D133" s="156">
        <v>2</v>
      </c>
      <c r="E133" s="157">
        <v>5</v>
      </c>
      <c r="F133" s="157">
        <v>1</v>
      </c>
      <c r="G133" s="157">
        <v>3000</v>
      </c>
      <c r="H133" s="158" t="s">
        <v>358</v>
      </c>
      <c r="I133" s="157">
        <v>0.3</v>
      </c>
      <c r="J133" s="181">
        <v>300000000000</v>
      </c>
      <c r="K133" s="159">
        <v>300000000000</v>
      </c>
      <c r="L133" s="159">
        <v>2000000000000</v>
      </c>
      <c r="M133" s="157">
        <v>5000000000000</v>
      </c>
      <c r="N133" s="157">
        <v>1000000000000</v>
      </c>
      <c r="O133" s="157">
        <v>3000000000000000</v>
      </c>
      <c r="P133" s="156">
        <v>300000000000</v>
      </c>
      <c r="Q133" s="183">
        <v>100</v>
      </c>
      <c r="R133" s="188">
        <v>100000</v>
      </c>
      <c r="S133">
        <v>0.127583846680355</v>
      </c>
    </row>
    <row r="134" spans="1:19" ht="15" x14ac:dyDescent="0.25">
      <c r="A134" t="s">
        <v>142</v>
      </c>
      <c r="B134" s="156">
        <v>2</v>
      </c>
      <c r="C134" s="156">
        <v>2</v>
      </c>
      <c r="D134" s="156">
        <v>20</v>
      </c>
      <c r="E134" s="157">
        <v>0.4</v>
      </c>
      <c r="F134" s="157">
        <v>0.4</v>
      </c>
      <c r="G134" s="157">
        <v>1200</v>
      </c>
      <c r="H134" s="158" t="s">
        <v>358</v>
      </c>
      <c r="I134" s="157">
        <v>2</v>
      </c>
      <c r="J134" s="181">
        <v>2000000000000</v>
      </c>
      <c r="K134" s="159">
        <v>2000000000000</v>
      </c>
      <c r="L134" s="159">
        <v>20000000000000</v>
      </c>
      <c r="M134" s="157">
        <v>400000000000</v>
      </c>
      <c r="N134" s="157">
        <v>400000000000</v>
      </c>
      <c r="O134" s="157">
        <v>1200000000000000</v>
      </c>
      <c r="P134" s="156">
        <v>2000000000000</v>
      </c>
      <c r="Q134" s="183">
        <v>1000</v>
      </c>
      <c r="R134" s="188">
        <v>100000</v>
      </c>
      <c r="S134" t="e">
        <v>#N/A</v>
      </c>
    </row>
    <row r="135" spans="1:19" ht="15" x14ac:dyDescent="0.25">
      <c r="A135" t="s">
        <v>397</v>
      </c>
      <c r="B135" s="156">
        <v>0.04</v>
      </c>
      <c r="C135" s="156">
        <v>0.04</v>
      </c>
      <c r="D135" s="156">
        <v>30</v>
      </c>
      <c r="E135" s="157">
        <v>0.6</v>
      </c>
      <c r="F135" s="157">
        <v>0.5</v>
      </c>
      <c r="G135" s="157">
        <v>1500</v>
      </c>
      <c r="H135" s="158" t="s">
        <v>358</v>
      </c>
      <c r="I135" s="157">
        <v>0.04</v>
      </c>
      <c r="J135" s="181">
        <v>40000000000</v>
      </c>
      <c r="K135" s="159">
        <v>40000000000</v>
      </c>
      <c r="L135" s="159">
        <v>30000000000000</v>
      </c>
      <c r="M135" s="157">
        <v>600000000000</v>
      </c>
      <c r="N135" s="157">
        <v>500000000000</v>
      </c>
      <c r="O135" s="157">
        <v>1500000000000000</v>
      </c>
      <c r="P135" s="156">
        <v>40000000000</v>
      </c>
      <c r="Q135" s="183">
        <v>10</v>
      </c>
      <c r="R135" s="188">
        <v>1000000</v>
      </c>
      <c r="S135" t="e">
        <v>#N/A</v>
      </c>
    </row>
    <row r="136" spans="1:19" ht="15" x14ac:dyDescent="0.25">
      <c r="A136" t="s">
        <v>474</v>
      </c>
      <c r="B136" s="156"/>
      <c r="C136" s="156"/>
      <c r="D136" s="156"/>
      <c r="E136" s="157"/>
      <c r="F136" s="157"/>
      <c r="G136" s="157"/>
      <c r="H136" s="158"/>
      <c r="I136" s="157"/>
      <c r="J136" s="181"/>
      <c r="K136" s="159"/>
      <c r="L136" s="159"/>
      <c r="M136" s="157"/>
      <c r="N136" s="157"/>
      <c r="O136" s="157"/>
      <c r="P136" s="156"/>
      <c r="Q136" s="183">
        <v>100</v>
      </c>
      <c r="R136" s="188">
        <v>1000000</v>
      </c>
      <c r="S136">
        <v>2.42E-4</v>
      </c>
    </row>
    <row r="137" spans="1:19" ht="15" x14ac:dyDescent="0.25">
      <c r="A137" t="s">
        <v>216</v>
      </c>
      <c r="B137" s="156">
        <v>0.5</v>
      </c>
      <c r="C137" s="156">
        <v>0.5</v>
      </c>
      <c r="D137" s="156">
        <v>30</v>
      </c>
      <c r="E137" s="157">
        <v>6</v>
      </c>
      <c r="F137" s="157">
        <v>3</v>
      </c>
      <c r="G137" s="157">
        <v>9000</v>
      </c>
      <c r="H137" s="158" t="s">
        <v>358</v>
      </c>
      <c r="I137" s="157">
        <v>0.5</v>
      </c>
      <c r="J137" s="181">
        <v>500000000000</v>
      </c>
      <c r="K137" s="159">
        <v>500000000000</v>
      </c>
      <c r="L137" s="159">
        <v>30000000000000</v>
      </c>
      <c r="M137" s="157">
        <v>6000000000000</v>
      </c>
      <c r="N137" s="157">
        <v>3000000000000</v>
      </c>
      <c r="O137" s="157">
        <v>9000000000000000</v>
      </c>
      <c r="P137" s="156">
        <v>500000000000</v>
      </c>
      <c r="Q137" s="183">
        <v>100</v>
      </c>
      <c r="R137" s="188">
        <v>10000000</v>
      </c>
      <c r="S137">
        <v>1.5058179329227E-3</v>
      </c>
    </row>
    <row r="138" spans="1:19" ht="15" x14ac:dyDescent="0.25">
      <c r="A138" t="s">
        <v>261</v>
      </c>
      <c r="B138" s="156">
        <v>0.06</v>
      </c>
      <c r="C138" s="156">
        <v>0.06</v>
      </c>
      <c r="D138" s="156">
        <v>0.4</v>
      </c>
      <c r="E138" s="157">
        <v>1</v>
      </c>
      <c r="F138" s="157">
        <v>1</v>
      </c>
      <c r="G138" s="157">
        <v>3000</v>
      </c>
      <c r="H138" s="158" t="s">
        <v>358</v>
      </c>
      <c r="I138" s="157">
        <v>0.06</v>
      </c>
      <c r="J138" s="181">
        <v>60000000000</v>
      </c>
      <c r="K138" s="159">
        <v>60000000000</v>
      </c>
      <c r="L138" s="159">
        <v>400000000000</v>
      </c>
      <c r="M138" s="157">
        <v>1000000000000</v>
      </c>
      <c r="N138" s="157">
        <v>1000000000000</v>
      </c>
      <c r="O138" s="157">
        <v>3000000000000000</v>
      </c>
      <c r="P138" s="156">
        <v>60000000000</v>
      </c>
      <c r="Q138" s="183">
        <v>10</v>
      </c>
      <c r="R138" s="188">
        <v>1000000</v>
      </c>
      <c r="S138">
        <v>1.14442162902122E-2</v>
      </c>
    </row>
    <row r="139" spans="1:19" ht="15" x14ac:dyDescent="0.25">
      <c r="A139" t="s">
        <v>217</v>
      </c>
      <c r="B139" s="156">
        <v>0.2</v>
      </c>
      <c r="C139" s="156">
        <v>10</v>
      </c>
      <c r="D139" s="156">
        <v>0.2</v>
      </c>
      <c r="E139" s="157">
        <v>20</v>
      </c>
      <c r="F139" s="157">
        <v>3</v>
      </c>
      <c r="G139" s="157">
        <v>9000</v>
      </c>
      <c r="H139" s="158" t="s">
        <v>358</v>
      </c>
      <c r="I139" s="157">
        <v>0.2</v>
      </c>
      <c r="J139" s="181">
        <v>200000000000</v>
      </c>
      <c r="K139" s="159">
        <v>10000000000000</v>
      </c>
      <c r="L139" s="159">
        <v>200000000000</v>
      </c>
      <c r="M139" s="157">
        <v>20000000000000</v>
      </c>
      <c r="N139" s="157">
        <v>3000000000000</v>
      </c>
      <c r="O139" s="157">
        <v>9000000000000000</v>
      </c>
      <c r="P139" s="156">
        <v>200000000000</v>
      </c>
      <c r="Q139" s="183">
        <v>1000</v>
      </c>
      <c r="R139" s="188">
        <v>1000000</v>
      </c>
      <c r="S139">
        <v>0.16454483230663899</v>
      </c>
    </row>
    <row r="140" spans="1:19" ht="15" x14ac:dyDescent="0.25">
      <c r="A140" t="s">
        <v>218</v>
      </c>
      <c r="B140" s="156">
        <v>0.1</v>
      </c>
      <c r="C140" s="156">
        <v>0.1</v>
      </c>
      <c r="D140" s="156">
        <v>0.2</v>
      </c>
      <c r="E140" s="157">
        <v>2</v>
      </c>
      <c r="F140" s="157">
        <v>1</v>
      </c>
      <c r="G140" s="157">
        <v>3000</v>
      </c>
      <c r="H140" s="158" t="s">
        <v>358</v>
      </c>
      <c r="I140" s="157">
        <v>0.1</v>
      </c>
      <c r="J140" s="181">
        <v>100000000000</v>
      </c>
      <c r="K140" s="159">
        <v>100000000000</v>
      </c>
      <c r="L140" s="159">
        <v>200000000000</v>
      </c>
      <c r="M140" s="157">
        <v>2000000000000</v>
      </c>
      <c r="N140" s="157">
        <v>1000000000000</v>
      </c>
      <c r="O140" s="157">
        <v>3000000000000000</v>
      </c>
      <c r="P140" s="156">
        <v>100000000000</v>
      </c>
      <c r="Q140" s="183">
        <v>100</v>
      </c>
      <c r="R140" s="188">
        <v>1000000</v>
      </c>
      <c r="S140" t="e">
        <v>#N/A</v>
      </c>
    </row>
    <row r="141" spans="1:19" ht="15" x14ac:dyDescent="0.25">
      <c r="A141" t="s">
        <v>219</v>
      </c>
      <c r="B141" s="156" t="s">
        <v>362</v>
      </c>
      <c r="C141" s="156" t="s">
        <v>362</v>
      </c>
      <c r="D141" s="156" t="s">
        <v>362</v>
      </c>
      <c r="E141" s="157" t="s">
        <v>362</v>
      </c>
      <c r="F141" s="157" t="s">
        <v>362</v>
      </c>
      <c r="G141" s="157" t="s">
        <v>362</v>
      </c>
      <c r="H141" s="161" t="s">
        <v>362</v>
      </c>
      <c r="I141" s="157" t="s">
        <v>362</v>
      </c>
      <c r="J141" s="181" t="s">
        <v>362</v>
      </c>
      <c r="K141" s="159" t="s">
        <v>362</v>
      </c>
      <c r="L141" s="159" t="s">
        <v>362</v>
      </c>
      <c r="M141" s="157" t="s">
        <v>362</v>
      </c>
      <c r="N141" s="157" t="s">
        <v>362</v>
      </c>
      <c r="O141" s="157" t="s">
        <v>362</v>
      </c>
      <c r="P141" s="164" t="s">
        <v>362</v>
      </c>
      <c r="Q141" s="183">
        <v>100</v>
      </c>
      <c r="R141" s="188">
        <v>100000</v>
      </c>
      <c r="S141">
        <v>15700000</v>
      </c>
    </row>
    <row r="142" spans="1:19" ht="15" x14ac:dyDescent="0.25">
      <c r="A142" t="s">
        <v>220</v>
      </c>
      <c r="B142" s="156">
        <v>0.2</v>
      </c>
      <c r="C142" s="156">
        <v>0.2</v>
      </c>
      <c r="D142" s="156">
        <v>0.2</v>
      </c>
      <c r="E142" s="157">
        <v>3</v>
      </c>
      <c r="F142" s="157">
        <v>0.7</v>
      </c>
      <c r="G142" s="157">
        <v>2100</v>
      </c>
      <c r="H142" s="158" t="s">
        <v>358</v>
      </c>
      <c r="I142" s="157">
        <v>0.2</v>
      </c>
      <c r="J142" s="181">
        <v>200000000000</v>
      </c>
      <c r="K142" s="159">
        <v>200000000000</v>
      </c>
      <c r="L142" s="159">
        <v>200000000000</v>
      </c>
      <c r="M142" s="157">
        <v>3000000000000</v>
      </c>
      <c r="N142" s="157">
        <v>700000000000</v>
      </c>
      <c r="O142" s="157">
        <v>2100000000000000</v>
      </c>
      <c r="P142" s="156">
        <v>200000000000</v>
      </c>
      <c r="Q142" s="183">
        <v>100</v>
      </c>
      <c r="R142" s="188">
        <v>1000000</v>
      </c>
      <c r="S142">
        <v>2.2012320328542102E-2</v>
      </c>
    </row>
    <row r="143" spans="1:19" ht="15" x14ac:dyDescent="0.25">
      <c r="A143" t="s">
        <v>221</v>
      </c>
      <c r="B143" s="156">
        <v>0.03</v>
      </c>
      <c r="C143" s="156">
        <v>0.03</v>
      </c>
      <c r="D143" s="156">
        <v>6</v>
      </c>
      <c r="E143" s="157">
        <v>0.4</v>
      </c>
      <c r="F143" s="157">
        <v>0.4</v>
      </c>
      <c r="G143" s="157">
        <v>1200</v>
      </c>
      <c r="H143" s="158" t="s">
        <v>358</v>
      </c>
      <c r="I143" s="157">
        <v>0.03</v>
      </c>
      <c r="J143" s="181">
        <v>30000000000</v>
      </c>
      <c r="K143" s="159">
        <v>30000000000</v>
      </c>
      <c r="L143" s="159">
        <v>6000000000000</v>
      </c>
      <c r="M143" s="157">
        <v>400000000000</v>
      </c>
      <c r="N143" s="157">
        <v>400000000000</v>
      </c>
      <c r="O143" s="157">
        <v>1200000000000000</v>
      </c>
      <c r="P143" s="156">
        <v>30000000000</v>
      </c>
      <c r="Q143" s="183">
        <v>10</v>
      </c>
      <c r="R143" s="188">
        <v>100000</v>
      </c>
      <c r="S143" s="2">
        <v>2.6154999999999999E-4</v>
      </c>
    </row>
    <row r="144" spans="1:19" ht="15" x14ac:dyDescent="0.25">
      <c r="A144" t="s">
        <v>222</v>
      </c>
      <c r="B144" s="156">
        <v>0.1</v>
      </c>
      <c r="C144" s="156">
        <v>0.1</v>
      </c>
      <c r="D144" s="156">
        <v>0.3</v>
      </c>
      <c r="E144" s="157">
        <v>0.7</v>
      </c>
      <c r="F144" s="157">
        <v>0.6</v>
      </c>
      <c r="G144" s="157">
        <v>1800</v>
      </c>
      <c r="H144" s="158" t="s">
        <v>358</v>
      </c>
      <c r="I144" s="157">
        <v>0.1</v>
      </c>
      <c r="J144" s="181">
        <v>100000000000</v>
      </c>
      <c r="K144" s="159">
        <v>100000000000</v>
      </c>
      <c r="L144" s="159">
        <v>300000000000</v>
      </c>
      <c r="M144" s="157">
        <v>700000000000</v>
      </c>
      <c r="N144" s="157">
        <v>600000000000</v>
      </c>
      <c r="O144" s="157">
        <v>1800000000000000</v>
      </c>
      <c r="P144" s="156">
        <v>100000000000</v>
      </c>
      <c r="Q144" s="183">
        <v>10</v>
      </c>
      <c r="R144" s="188">
        <v>1000000</v>
      </c>
      <c r="S144">
        <v>2.3728040155144999E-3</v>
      </c>
    </row>
    <row r="145" spans="1:19" ht="15" x14ac:dyDescent="0.25">
      <c r="A145" t="s">
        <v>223</v>
      </c>
      <c r="B145" s="156">
        <v>0.03</v>
      </c>
      <c r="C145" s="156">
        <v>0.03</v>
      </c>
      <c r="D145" s="156">
        <v>20</v>
      </c>
      <c r="E145" s="157">
        <v>0.3</v>
      </c>
      <c r="F145" s="157">
        <v>0.3</v>
      </c>
      <c r="G145" s="157">
        <v>900</v>
      </c>
      <c r="H145" s="158" t="s">
        <v>358</v>
      </c>
      <c r="I145" s="157">
        <v>0.03</v>
      </c>
      <c r="J145" s="181">
        <v>30000000000</v>
      </c>
      <c r="K145" s="159">
        <v>30000000000</v>
      </c>
      <c r="L145" s="159">
        <v>20000000000000</v>
      </c>
      <c r="M145" s="157">
        <v>300000000000</v>
      </c>
      <c r="N145" s="157">
        <v>300000000000</v>
      </c>
      <c r="O145" s="157">
        <v>900000000000000</v>
      </c>
      <c r="P145" s="156">
        <v>30000000000</v>
      </c>
      <c r="Q145" s="183">
        <v>10</v>
      </c>
      <c r="R145" s="188">
        <v>100000</v>
      </c>
      <c r="S145" t="e">
        <v>#N/A</v>
      </c>
    </row>
    <row r="146" spans="1:19" ht="15" x14ac:dyDescent="0.25">
      <c r="A146" t="s">
        <v>224</v>
      </c>
      <c r="B146" s="156">
        <v>0.04</v>
      </c>
      <c r="C146" s="156">
        <v>0.04</v>
      </c>
      <c r="D146" s="156">
        <v>2</v>
      </c>
      <c r="E146" s="157">
        <v>0.6</v>
      </c>
      <c r="F146" s="157">
        <v>0.6</v>
      </c>
      <c r="G146" s="157">
        <v>1800</v>
      </c>
      <c r="H146" s="158" t="s">
        <v>358</v>
      </c>
      <c r="I146" s="157">
        <v>0.04</v>
      </c>
      <c r="J146" s="181">
        <v>40000000000</v>
      </c>
      <c r="K146" s="159">
        <v>40000000000</v>
      </c>
      <c r="L146" s="159">
        <v>2000000000000</v>
      </c>
      <c r="M146" s="157">
        <v>600000000000</v>
      </c>
      <c r="N146" s="157">
        <v>600000000000</v>
      </c>
      <c r="O146" s="157">
        <v>1800000000000000</v>
      </c>
      <c r="P146" s="156">
        <v>40000000000</v>
      </c>
      <c r="Q146" s="183">
        <v>10</v>
      </c>
      <c r="R146" s="188">
        <v>1000000</v>
      </c>
      <c r="S146" t="e">
        <v>#N/A</v>
      </c>
    </row>
    <row r="147" spans="1:19" ht="15" x14ac:dyDescent="0.25">
      <c r="A147" t="s">
        <v>212</v>
      </c>
      <c r="B147" s="156">
        <v>0.2</v>
      </c>
      <c r="C147" s="156">
        <v>0.2</v>
      </c>
      <c r="D147" s="156">
        <v>100</v>
      </c>
      <c r="E147" s="157">
        <v>3</v>
      </c>
      <c r="F147" s="157">
        <v>3</v>
      </c>
      <c r="G147" s="157">
        <v>9000</v>
      </c>
      <c r="H147" s="158" t="s">
        <v>358</v>
      </c>
      <c r="I147" s="157">
        <v>0.2</v>
      </c>
      <c r="J147" s="181">
        <v>200000000000</v>
      </c>
      <c r="K147" s="159">
        <v>200000000000</v>
      </c>
      <c r="L147" s="159">
        <v>100000000000000</v>
      </c>
      <c r="M147" s="157">
        <v>3000000000000</v>
      </c>
      <c r="N147" s="157">
        <v>3000000000000</v>
      </c>
      <c r="O147" s="157">
        <v>9000000000000000</v>
      </c>
      <c r="P147" s="156">
        <v>200000000000</v>
      </c>
      <c r="Q147" s="183">
        <v>100</v>
      </c>
      <c r="R147" s="188">
        <v>1000000</v>
      </c>
      <c r="S147">
        <v>7.7481177275838002E-3</v>
      </c>
    </row>
    <row r="148" spans="1:19" ht="15" x14ac:dyDescent="0.25">
      <c r="A148" t="s">
        <v>213</v>
      </c>
      <c r="B148" s="156">
        <v>0.3</v>
      </c>
      <c r="C148" s="156">
        <v>0.3</v>
      </c>
      <c r="D148" s="156">
        <v>50</v>
      </c>
      <c r="E148" s="157">
        <v>4</v>
      </c>
      <c r="F148" s="157">
        <v>2</v>
      </c>
      <c r="G148" s="157">
        <v>6000</v>
      </c>
      <c r="H148" s="158" t="s">
        <v>358</v>
      </c>
      <c r="I148" s="157">
        <v>0.3</v>
      </c>
      <c r="J148" s="181">
        <v>300000000000</v>
      </c>
      <c r="K148" s="159">
        <v>300000000000</v>
      </c>
      <c r="L148" s="159">
        <v>50000000000000</v>
      </c>
      <c r="M148" s="157">
        <v>4000000000000</v>
      </c>
      <c r="N148" s="157">
        <v>2000000000000</v>
      </c>
      <c r="O148" s="157">
        <v>6000000000000000</v>
      </c>
      <c r="P148" s="156">
        <v>300000000000</v>
      </c>
      <c r="Q148" s="183">
        <v>100</v>
      </c>
      <c r="R148" s="188">
        <v>1000000</v>
      </c>
      <c r="S148" t="e">
        <v>#N/A</v>
      </c>
    </row>
    <row r="149" spans="1:19" ht="15" x14ac:dyDescent="0.25">
      <c r="A149" s="196" t="s">
        <v>214</v>
      </c>
      <c r="B149" s="156">
        <v>0.8</v>
      </c>
      <c r="C149" s="156">
        <v>0.8</v>
      </c>
      <c r="D149" s="156">
        <v>1</v>
      </c>
      <c r="E149" s="157">
        <v>10</v>
      </c>
      <c r="F149" s="157">
        <v>0.5</v>
      </c>
      <c r="G149" s="157">
        <v>1500</v>
      </c>
      <c r="H149" s="158" t="s">
        <v>358</v>
      </c>
      <c r="I149" s="157">
        <v>0.8</v>
      </c>
      <c r="J149" s="181">
        <v>800000000000</v>
      </c>
      <c r="K149" s="159">
        <v>800000000000</v>
      </c>
      <c r="L149" s="159">
        <v>1000000000000</v>
      </c>
      <c r="M149" s="157">
        <v>10000000000000</v>
      </c>
      <c r="N149" s="157">
        <v>500000000000</v>
      </c>
      <c r="O149" s="157">
        <v>1500000000000000</v>
      </c>
      <c r="P149" s="156">
        <v>800000000000</v>
      </c>
      <c r="Q149" s="183">
        <v>100</v>
      </c>
      <c r="R149" s="188">
        <v>1000000</v>
      </c>
      <c r="S149">
        <v>0.13750000000000001</v>
      </c>
    </row>
    <row r="150" spans="1:19" ht="15" x14ac:dyDescent="0.25">
      <c r="A150" t="s">
        <v>215</v>
      </c>
      <c r="B150" s="156">
        <v>0.4</v>
      </c>
      <c r="C150" s="156">
        <v>0.4</v>
      </c>
      <c r="D150" s="156">
        <v>30</v>
      </c>
      <c r="E150" s="157">
        <v>7</v>
      </c>
      <c r="F150" s="157">
        <v>1</v>
      </c>
      <c r="G150" s="157">
        <v>3000</v>
      </c>
      <c r="H150" s="158" t="s">
        <v>358</v>
      </c>
      <c r="I150" s="157">
        <v>0.4</v>
      </c>
      <c r="J150" s="181">
        <v>400000000000</v>
      </c>
      <c r="K150" s="159">
        <v>400000000000</v>
      </c>
      <c r="L150" s="159">
        <v>30000000000000</v>
      </c>
      <c r="M150" s="157">
        <v>7000000000000</v>
      </c>
      <c r="N150" s="157">
        <v>1000000000000</v>
      </c>
      <c r="O150" s="157">
        <v>3000000000000000</v>
      </c>
      <c r="P150" s="156">
        <v>400000000000</v>
      </c>
      <c r="Q150" s="183">
        <v>100</v>
      </c>
      <c r="R150" s="188">
        <v>1000000</v>
      </c>
      <c r="S150" t="e">
        <v>#N/A</v>
      </c>
    </row>
    <row r="151" spans="1:19" ht="15" x14ac:dyDescent="0.25">
      <c r="A151" t="s">
        <v>398</v>
      </c>
      <c r="B151" s="156">
        <v>1</v>
      </c>
      <c r="C151" s="156">
        <v>1</v>
      </c>
      <c r="D151" s="156">
        <v>200</v>
      </c>
      <c r="E151" s="157">
        <v>10</v>
      </c>
      <c r="F151" s="157">
        <v>10</v>
      </c>
      <c r="G151" s="157">
        <v>30000</v>
      </c>
      <c r="H151" s="158" t="s">
        <v>358</v>
      </c>
      <c r="I151" s="157">
        <v>1</v>
      </c>
      <c r="J151" s="181">
        <v>1000000000000</v>
      </c>
      <c r="K151" s="159">
        <v>1000000000000</v>
      </c>
      <c r="L151" s="159">
        <v>200000000000000</v>
      </c>
      <c r="M151" s="157">
        <v>10000000000000</v>
      </c>
      <c r="N151" s="157">
        <v>10000000000000</v>
      </c>
      <c r="O151" s="157">
        <v>3E+16</v>
      </c>
      <c r="P151" s="156">
        <v>1000000000000</v>
      </c>
      <c r="Q151" s="183">
        <v>100</v>
      </c>
      <c r="R151" s="188">
        <v>10000000</v>
      </c>
      <c r="S151" t="e">
        <v>#N/A</v>
      </c>
    </row>
    <row r="152" spans="1:19" ht="15" x14ac:dyDescent="0.25">
      <c r="A152" t="s">
        <v>225</v>
      </c>
      <c r="B152" s="156">
        <v>0.05</v>
      </c>
      <c r="C152" s="156">
        <v>0.05</v>
      </c>
      <c r="D152" s="156">
        <v>60</v>
      </c>
      <c r="E152" s="157">
        <v>0.7</v>
      </c>
      <c r="F152" s="157">
        <v>0.7</v>
      </c>
      <c r="G152" s="157">
        <v>2100</v>
      </c>
      <c r="H152" s="158" t="s">
        <v>358</v>
      </c>
      <c r="I152" s="157">
        <v>0.05</v>
      </c>
      <c r="J152" s="181">
        <v>50000000000</v>
      </c>
      <c r="K152" s="159">
        <v>50000000000</v>
      </c>
      <c r="L152" s="159">
        <v>60000000000000</v>
      </c>
      <c r="M152" s="157">
        <v>700000000000</v>
      </c>
      <c r="N152" s="157">
        <v>700000000000</v>
      </c>
      <c r="O152" s="157">
        <v>2100000000000000</v>
      </c>
      <c r="P152" s="156">
        <v>50000000000</v>
      </c>
      <c r="Q152" s="183">
        <v>10</v>
      </c>
      <c r="R152" s="188">
        <v>1000000</v>
      </c>
      <c r="S152">
        <v>3.2251882272416203E-2</v>
      </c>
    </row>
    <row r="153" spans="1:19" ht="15" x14ac:dyDescent="0.25">
      <c r="A153" t="s">
        <v>226</v>
      </c>
      <c r="B153" s="156">
        <v>0.08</v>
      </c>
      <c r="C153" s="156">
        <v>0.08</v>
      </c>
      <c r="D153" s="156">
        <v>20</v>
      </c>
      <c r="E153" s="157">
        <v>1</v>
      </c>
      <c r="F153" s="157">
        <v>0.6</v>
      </c>
      <c r="G153" s="160">
        <v>0.8</v>
      </c>
      <c r="H153" s="158" t="s">
        <v>361</v>
      </c>
      <c r="I153" s="163">
        <v>0.08</v>
      </c>
      <c r="J153" s="181">
        <v>80000000000</v>
      </c>
      <c r="K153" s="159">
        <v>80000000000</v>
      </c>
      <c r="L153" s="159">
        <v>20000000000000</v>
      </c>
      <c r="M153" s="157">
        <v>1000000000000</v>
      </c>
      <c r="N153" s="157">
        <v>600000000000</v>
      </c>
      <c r="O153" s="157">
        <v>800000000000</v>
      </c>
      <c r="P153" s="156">
        <v>80000000000</v>
      </c>
      <c r="Q153" s="183">
        <v>10</v>
      </c>
      <c r="R153" s="188">
        <v>10000</v>
      </c>
      <c r="S153">
        <v>0.20260095824777499</v>
      </c>
    </row>
    <row r="154" spans="1:19" ht="15" x14ac:dyDescent="0.25">
      <c r="A154" t="s">
        <v>227</v>
      </c>
      <c r="B154" s="156">
        <v>0.7</v>
      </c>
      <c r="C154" s="156">
        <v>0.7</v>
      </c>
      <c r="D154" s="156">
        <v>20</v>
      </c>
      <c r="E154" s="157">
        <v>0.3</v>
      </c>
      <c r="F154" s="157">
        <v>0.3</v>
      </c>
      <c r="G154" s="157">
        <v>900</v>
      </c>
      <c r="H154" s="158" t="s">
        <v>358</v>
      </c>
      <c r="I154" s="157">
        <v>0.7</v>
      </c>
      <c r="J154" s="181">
        <v>700000000000</v>
      </c>
      <c r="K154" s="159">
        <v>700000000000</v>
      </c>
      <c r="L154" s="159">
        <v>20000000000000</v>
      </c>
      <c r="M154" s="157">
        <v>300000000000</v>
      </c>
      <c r="N154" s="157">
        <v>300000000000</v>
      </c>
      <c r="O154" s="157">
        <v>900000000000000</v>
      </c>
      <c r="P154" s="156">
        <v>700000000000</v>
      </c>
      <c r="Q154" s="183">
        <v>100</v>
      </c>
      <c r="R154" s="188">
        <v>100000</v>
      </c>
      <c r="S154" t="e">
        <v>#N/A</v>
      </c>
    </row>
    <row r="155" spans="1:19" ht="15" x14ac:dyDescent="0.25">
      <c r="A155" t="s">
        <v>19</v>
      </c>
      <c r="B155" s="156">
        <v>0.2</v>
      </c>
      <c r="C155" s="156">
        <v>0.2</v>
      </c>
      <c r="D155" s="156">
        <v>10</v>
      </c>
      <c r="E155" s="157">
        <v>0.9</v>
      </c>
      <c r="F155" s="157">
        <v>0.9</v>
      </c>
      <c r="G155" s="157">
        <v>2700</v>
      </c>
      <c r="H155" s="158" t="s">
        <v>358</v>
      </c>
      <c r="I155" s="157">
        <v>0.2</v>
      </c>
      <c r="J155" s="181">
        <v>200000000000</v>
      </c>
      <c r="K155" s="159">
        <v>200000000000</v>
      </c>
      <c r="L155" s="159">
        <v>10000000000000</v>
      </c>
      <c r="M155" s="157">
        <v>900000000000</v>
      </c>
      <c r="N155" s="157">
        <v>900000000000</v>
      </c>
      <c r="O155" s="157">
        <v>2700000000000000</v>
      </c>
      <c r="P155" s="156">
        <v>200000000000</v>
      </c>
      <c r="Q155" s="183">
        <v>100</v>
      </c>
      <c r="R155" s="188">
        <v>1000000</v>
      </c>
      <c r="S155">
        <v>1280000000</v>
      </c>
    </row>
    <row r="156" spans="1:19" ht="15" x14ac:dyDescent="0.25">
      <c r="A156" t="s">
        <v>20</v>
      </c>
      <c r="B156" s="156">
        <v>7.0000000000000007E-2</v>
      </c>
      <c r="C156" s="156">
        <v>7.0000000000000007E-2</v>
      </c>
      <c r="D156" s="156">
        <v>30</v>
      </c>
      <c r="E156" s="157">
        <v>0.7</v>
      </c>
      <c r="F156" s="157">
        <v>0.6</v>
      </c>
      <c r="G156" s="157">
        <v>1800</v>
      </c>
      <c r="H156" s="158" t="s">
        <v>358</v>
      </c>
      <c r="I156" s="157">
        <v>7.0000000000000007E-2</v>
      </c>
      <c r="J156" s="181">
        <v>70000000000</v>
      </c>
      <c r="K156" s="159">
        <v>70000000000</v>
      </c>
      <c r="L156" s="159">
        <v>30000000000000</v>
      </c>
      <c r="M156" s="157">
        <v>700000000000</v>
      </c>
      <c r="N156" s="157">
        <v>600000000000</v>
      </c>
      <c r="O156" s="157">
        <v>1800000000000000</v>
      </c>
      <c r="P156" s="156">
        <v>70000000000</v>
      </c>
      <c r="Q156" s="183">
        <v>10</v>
      </c>
      <c r="R156" s="188">
        <v>1000000</v>
      </c>
      <c r="S156" t="e">
        <v>#N/A</v>
      </c>
    </row>
    <row r="157" spans="1:19" ht="15" x14ac:dyDescent="0.25">
      <c r="A157" t="s">
        <v>55</v>
      </c>
      <c r="B157" s="156">
        <v>30</v>
      </c>
      <c r="C157" s="156">
        <v>30</v>
      </c>
      <c r="D157" s="156">
        <v>700</v>
      </c>
      <c r="E157" s="157">
        <v>40</v>
      </c>
      <c r="F157" s="157">
        <v>40</v>
      </c>
      <c r="G157" s="157">
        <v>120000</v>
      </c>
      <c r="H157" s="158" t="s">
        <v>358</v>
      </c>
      <c r="I157" s="157">
        <v>30</v>
      </c>
      <c r="J157" s="181">
        <v>30000000000000</v>
      </c>
      <c r="K157" s="159">
        <v>30000000000000</v>
      </c>
      <c r="L157" s="159">
        <v>700000000000000</v>
      </c>
      <c r="M157" s="157">
        <v>40000000000000</v>
      </c>
      <c r="N157" s="157">
        <v>40000000000000</v>
      </c>
      <c r="O157" s="157">
        <v>1.2E+17</v>
      </c>
      <c r="P157" s="156">
        <v>30000000000000</v>
      </c>
      <c r="Q157" s="183">
        <v>10000</v>
      </c>
      <c r="R157" s="188">
        <v>10000000</v>
      </c>
      <c r="S157" t="e">
        <v>#N/A</v>
      </c>
    </row>
    <row r="158" spans="1:19" ht="15" x14ac:dyDescent="0.25">
      <c r="A158" t="s">
        <v>56</v>
      </c>
      <c r="B158" s="156">
        <v>30</v>
      </c>
      <c r="C158" s="156">
        <v>30</v>
      </c>
      <c r="D158" s="156">
        <v>2000</v>
      </c>
      <c r="E158" s="157">
        <v>10</v>
      </c>
      <c r="F158" s="157">
        <v>10</v>
      </c>
      <c r="G158" s="157">
        <v>30000</v>
      </c>
      <c r="H158" s="158" t="s">
        <v>358</v>
      </c>
      <c r="I158" s="157">
        <v>30</v>
      </c>
      <c r="J158" s="181">
        <v>30000000000000</v>
      </c>
      <c r="K158" s="159">
        <v>30000000000000</v>
      </c>
      <c r="L158" s="159">
        <v>2000000000000000</v>
      </c>
      <c r="M158" s="157">
        <v>10000000000000</v>
      </c>
      <c r="N158" s="157">
        <v>10000000000000</v>
      </c>
      <c r="O158" s="157">
        <v>3E+16</v>
      </c>
      <c r="P158" s="156">
        <v>30000000000000</v>
      </c>
      <c r="Q158" s="183">
        <v>100000</v>
      </c>
      <c r="R158" s="188">
        <v>10000</v>
      </c>
      <c r="S158">
        <v>10.7</v>
      </c>
    </row>
    <row r="159" spans="1:19" ht="15" x14ac:dyDescent="0.25">
      <c r="A159" t="s">
        <v>57</v>
      </c>
      <c r="B159" s="156">
        <v>0.5</v>
      </c>
      <c r="C159" s="156">
        <v>0.5</v>
      </c>
      <c r="D159" s="156">
        <v>30</v>
      </c>
      <c r="E159" s="157">
        <v>8</v>
      </c>
      <c r="F159" s="157">
        <v>3</v>
      </c>
      <c r="G159" s="157">
        <v>9000</v>
      </c>
      <c r="H159" s="158" t="s">
        <v>358</v>
      </c>
      <c r="I159" s="157">
        <v>0.5</v>
      </c>
      <c r="J159" s="181">
        <v>500000000000</v>
      </c>
      <c r="K159" s="159">
        <v>500000000000</v>
      </c>
      <c r="L159" s="159">
        <v>30000000000000</v>
      </c>
      <c r="M159" s="157">
        <v>8000000000000</v>
      </c>
      <c r="N159" s="157">
        <v>3000000000000</v>
      </c>
      <c r="O159" s="157">
        <v>9000000000000000</v>
      </c>
      <c r="P159" s="156">
        <v>500000000000</v>
      </c>
      <c r="Q159" s="183">
        <v>1000</v>
      </c>
      <c r="R159" s="188">
        <v>10000000000</v>
      </c>
      <c r="S159" t="e">
        <v>#N/A</v>
      </c>
    </row>
    <row r="160" spans="1:19" ht="15" x14ac:dyDescent="0.25">
      <c r="A160" t="s">
        <v>58</v>
      </c>
      <c r="B160" s="156">
        <v>0.09</v>
      </c>
      <c r="C160" s="156">
        <v>0.09</v>
      </c>
      <c r="D160" s="156">
        <v>4</v>
      </c>
      <c r="E160" s="157">
        <v>0.2</v>
      </c>
      <c r="F160" s="157">
        <v>0.2</v>
      </c>
      <c r="G160" s="157">
        <v>600</v>
      </c>
      <c r="H160" s="158" t="s">
        <v>358</v>
      </c>
      <c r="I160" s="157">
        <v>0.09</v>
      </c>
      <c r="J160" s="181">
        <v>90000000000</v>
      </c>
      <c r="K160" s="159">
        <v>90000000000</v>
      </c>
      <c r="L160" s="159">
        <v>4000000000000</v>
      </c>
      <c r="M160" s="157">
        <v>200000000000</v>
      </c>
      <c r="N160" s="157">
        <v>200000000000</v>
      </c>
      <c r="O160" s="157">
        <v>600000000000000</v>
      </c>
      <c r="P160" s="156">
        <v>90000000000</v>
      </c>
      <c r="Q160" s="183">
        <v>100</v>
      </c>
      <c r="R160" s="188">
        <v>1000000000</v>
      </c>
      <c r="S160" t="e">
        <v>#N/A</v>
      </c>
    </row>
    <row r="161" spans="1:19" ht="15" x14ac:dyDescent="0.25">
      <c r="A161" t="s">
        <v>475</v>
      </c>
      <c r="B161" s="156"/>
      <c r="C161" s="156"/>
      <c r="D161" s="156"/>
      <c r="E161" s="157"/>
      <c r="F161" s="157"/>
      <c r="G161" s="157"/>
      <c r="H161" s="158"/>
      <c r="I161" s="157"/>
      <c r="J161" s="181"/>
      <c r="K161" s="159"/>
      <c r="L161" s="159"/>
      <c r="M161" s="157"/>
      <c r="N161" s="157"/>
      <c r="O161" s="157"/>
      <c r="P161" s="156"/>
      <c r="Q161" s="183">
        <v>100</v>
      </c>
      <c r="R161" s="188">
        <v>1000000000</v>
      </c>
      <c r="S161">
        <v>3.2420000000000002E-4</v>
      </c>
    </row>
    <row r="162" spans="1:19" ht="15" x14ac:dyDescent="0.25">
      <c r="A162" t="s">
        <v>399</v>
      </c>
      <c r="B162" s="156">
        <v>20</v>
      </c>
      <c r="C162" s="156">
        <v>20</v>
      </c>
      <c r="D162" s="156">
        <v>500</v>
      </c>
      <c r="E162" s="157">
        <v>30</v>
      </c>
      <c r="F162" s="157">
        <v>6</v>
      </c>
      <c r="G162" s="157">
        <v>18000</v>
      </c>
      <c r="H162" s="158" t="s">
        <v>358</v>
      </c>
      <c r="I162" s="157">
        <v>20</v>
      </c>
      <c r="J162" s="181">
        <v>20000000000000</v>
      </c>
      <c r="K162" s="159">
        <v>20000000000000</v>
      </c>
      <c r="L162" s="159">
        <v>500000000000000</v>
      </c>
      <c r="M162" s="157">
        <v>30000000000000</v>
      </c>
      <c r="N162" s="157">
        <v>6000000000000</v>
      </c>
      <c r="O162" s="157">
        <v>1.8E+16</v>
      </c>
      <c r="P162" s="156">
        <v>20000000000000</v>
      </c>
      <c r="Q162" s="183">
        <v>1000</v>
      </c>
      <c r="R162" s="188">
        <v>10000000</v>
      </c>
      <c r="S162" t="e">
        <v>#N/A</v>
      </c>
    </row>
    <row r="163" spans="1:19" ht="15" x14ac:dyDescent="0.25">
      <c r="A163" t="s">
        <v>121</v>
      </c>
      <c r="B163" s="156">
        <v>0.03</v>
      </c>
      <c r="C163" s="156">
        <v>0.03</v>
      </c>
      <c r="D163" s="156">
        <v>20</v>
      </c>
      <c r="E163" s="157">
        <v>0.4</v>
      </c>
      <c r="F163" s="157">
        <v>0.4</v>
      </c>
      <c r="G163" s="157">
        <v>1200</v>
      </c>
      <c r="H163" s="158" t="s">
        <v>358</v>
      </c>
      <c r="I163" s="157">
        <v>0.03</v>
      </c>
      <c r="J163" s="181">
        <v>30000000000</v>
      </c>
      <c r="K163" s="159">
        <v>30000000000</v>
      </c>
      <c r="L163" s="159">
        <v>20000000000000</v>
      </c>
      <c r="M163" s="157">
        <v>400000000000</v>
      </c>
      <c r="N163" s="157">
        <v>400000000000</v>
      </c>
      <c r="O163" s="157">
        <v>1200000000000000</v>
      </c>
      <c r="P163" s="156">
        <v>30000000000</v>
      </c>
      <c r="Q163" s="183">
        <v>10</v>
      </c>
      <c r="R163" s="188">
        <v>100000</v>
      </c>
      <c r="S163">
        <v>4.5995893223819001E-3</v>
      </c>
    </row>
    <row r="164" spans="1:19" ht="15" x14ac:dyDescent="0.25">
      <c r="A164" t="s">
        <v>400</v>
      </c>
      <c r="B164" s="156">
        <v>0.04</v>
      </c>
      <c r="C164" s="156">
        <v>0.04</v>
      </c>
      <c r="D164" s="156">
        <v>60</v>
      </c>
      <c r="E164" s="157">
        <v>0.6</v>
      </c>
      <c r="F164" s="157">
        <v>0.6</v>
      </c>
      <c r="G164" s="157">
        <v>1800</v>
      </c>
      <c r="H164" s="158" t="s">
        <v>358</v>
      </c>
      <c r="I164" s="157">
        <v>0.04</v>
      </c>
      <c r="J164" s="181">
        <v>40000000000</v>
      </c>
      <c r="K164" s="159">
        <v>40000000000</v>
      </c>
      <c r="L164" s="159">
        <v>60000000000000</v>
      </c>
      <c r="M164" s="157">
        <v>600000000000</v>
      </c>
      <c r="N164" s="157">
        <v>600000000000</v>
      </c>
      <c r="O164" s="157">
        <v>1800000000000000</v>
      </c>
      <c r="P164" s="156">
        <v>40000000000</v>
      </c>
      <c r="Q164" s="183">
        <v>10</v>
      </c>
      <c r="R164" s="188">
        <v>1000000</v>
      </c>
      <c r="S164">
        <v>1.83436002737851E-2</v>
      </c>
    </row>
    <row r="165" spans="1:19" ht="15" x14ac:dyDescent="0.25">
      <c r="A165" t="s">
        <v>401</v>
      </c>
      <c r="B165" s="156">
        <v>0.9</v>
      </c>
      <c r="C165" s="156">
        <v>0.9</v>
      </c>
      <c r="D165" s="156">
        <v>200</v>
      </c>
      <c r="E165" s="157">
        <v>8</v>
      </c>
      <c r="F165" s="157">
        <v>8</v>
      </c>
      <c r="G165" s="157">
        <v>24000</v>
      </c>
      <c r="H165" s="158" t="s">
        <v>358</v>
      </c>
      <c r="I165" s="157">
        <v>0.9</v>
      </c>
      <c r="J165" s="181">
        <v>900000000000</v>
      </c>
      <c r="K165" s="159">
        <v>900000000000</v>
      </c>
      <c r="L165" s="159">
        <v>200000000000000</v>
      </c>
      <c r="M165" s="157">
        <v>8000000000000</v>
      </c>
      <c r="N165" s="157">
        <v>8000000000000</v>
      </c>
      <c r="O165" s="157">
        <v>2.4E+16</v>
      </c>
      <c r="P165" s="156">
        <v>900000000000</v>
      </c>
      <c r="Q165" s="183">
        <v>100</v>
      </c>
      <c r="R165" s="188">
        <v>10000000</v>
      </c>
      <c r="S165" t="e">
        <v>#N/A</v>
      </c>
    </row>
    <row r="166" spans="1:19" ht="15" x14ac:dyDescent="0.25">
      <c r="A166" t="s">
        <v>402</v>
      </c>
      <c r="B166" s="156">
        <v>0.8</v>
      </c>
      <c r="C166" s="156">
        <v>0.8</v>
      </c>
      <c r="D166" s="156">
        <v>100</v>
      </c>
      <c r="E166" s="157">
        <v>9</v>
      </c>
      <c r="F166" s="157">
        <v>9</v>
      </c>
      <c r="G166" s="157">
        <v>27000</v>
      </c>
      <c r="H166" s="158" t="s">
        <v>358</v>
      </c>
      <c r="I166" s="157">
        <v>0.8</v>
      </c>
      <c r="J166" s="181">
        <v>800000000000</v>
      </c>
      <c r="K166" s="159">
        <v>800000000000</v>
      </c>
      <c r="L166" s="159">
        <v>100000000000000</v>
      </c>
      <c r="M166" s="157">
        <v>9000000000000</v>
      </c>
      <c r="N166" s="157">
        <v>9000000000000</v>
      </c>
      <c r="O166" s="157">
        <v>2.7E+16</v>
      </c>
      <c r="P166" s="156">
        <v>800000000000</v>
      </c>
      <c r="Q166" s="183">
        <v>100</v>
      </c>
      <c r="R166" s="188">
        <v>10000000</v>
      </c>
      <c r="S166" t="e">
        <v>#N/A</v>
      </c>
    </row>
    <row r="167" spans="1:19" ht="15" x14ac:dyDescent="0.25">
      <c r="A167" t="s">
        <v>403</v>
      </c>
      <c r="B167" s="156">
        <v>0.6</v>
      </c>
      <c r="C167" s="156">
        <v>0.6</v>
      </c>
      <c r="D167" s="156">
        <v>60</v>
      </c>
      <c r="E167" s="157">
        <v>20</v>
      </c>
      <c r="F167" s="157">
        <v>10</v>
      </c>
      <c r="G167" s="157">
        <v>30000</v>
      </c>
      <c r="H167" s="158" t="s">
        <v>358</v>
      </c>
      <c r="I167" s="157">
        <v>0.6</v>
      </c>
      <c r="J167" s="181">
        <v>600000000000</v>
      </c>
      <c r="K167" s="159">
        <v>600000000000</v>
      </c>
      <c r="L167" s="159">
        <v>60000000000000</v>
      </c>
      <c r="M167" s="157">
        <v>20000000000000</v>
      </c>
      <c r="N167" s="157">
        <v>10000000000000</v>
      </c>
      <c r="O167" s="157">
        <v>3E+16</v>
      </c>
      <c r="P167" s="156">
        <v>600000000000</v>
      </c>
      <c r="Q167" s="183">
        <v>100</v>
      </c>
      <c r="R167" s="188">
        <v>10000000</v>
      </c>
      <c r="S167" t="e">
        <v>#N/A</v>
      </c>
    </row>
    <row r="168" spans="1:19" ht="15" x14ac:dyDescent="0.25">
      <c r="A168" t="s">
        <v>148</v>
      </c>
      <c r="B168" s="156">
        <v>2</v>
      </c>
      <c r="C168" s="156">
        <v>2</v>
      </c>
      <c r="D168" s="156">
        <v>100</v>
      </c>
      <c r="E168" s="157">
        <v>30</v>
      </c>
      <c r="F168" s="157">
        <v>0.7</v>
      </c>
      <c r="G168" s="157">
        <v>2100</v>
      </c>
      <c r="H168" s="158" t="s">
        <v>358</v>
      </c>
      <c r="I168" s="157">
        <v>2</v>
      </c>
      <c r="J168" s="181">
        <v>2000000000000</v>
      </c>
      <c r="K168" s="159">
        <v>2000000000000</v>
      </c>
      <c r="L168" s="159">
        <v>100000000000000</v>
      </c>
      <c r="M168" s="157">
        <v>30000000000000</v>
      </c>
      <c r="N168" s="157">
        <v>700000000000</v>
      </c>
      <c r="O168" s="157">
        <v>2100000000000000</v>
      </c>
      <c r="P168" s="156">
        <v>2000000000000</v>
      </c>
      <c r="Q168" s="183">
        <v>1000</v>
      </c>
      <c r="R168" s="188">
        <v>10000000</v>
      </c>
      <c r="S168">
        <v>1.8370978781656399E-2</v>
      </c>
    </row>
    <row r="169" spans="1:19" ht="15" x14ac:dyDescent="0.25">
      <c r="A169" t="s">
        <v>471</v>
      </c>
      <c r="B169" s="156"/>
      <c r="C169" s="156"/>
      <c r="D169" s="156"/>
      <c r="E169" s="157"/>
      <c r="F169" s="157"/>
      <c r="G169" s="157"/>
      <c r="H169" s="158"/>
      <c r="I169" s="157"/>
      <c r="J169" s="181"/>
      <c r="K169" s="159"/>
      <c r="L169" s="159"/>
      <c r="M169" s="157"/>
      <c r="N169" s="157"/>
      <c r="O169" s="157"/>
      <c r="P169" s="156"/>
      <c r="Q169" s="183">
        <v>10</v>
      </c>
      <c r="R169" s="188">
        <v>1000000</v>
      </c>
      <c r="S169">
        <v>0.43945000000000001</v>
      </c>
    </row>
    <row r="170" spans="1:19" ht="15" x14ac:dyDescent="0.25">
      <c r="A170" t="s">
        <v>404</v>
      </c>
      <c r="B170" s="156">
        <v>0.02</v>
      </c>
      <c r="C170" s="156">
        <v>0.02</v>
      </c>
      <c r="D170" s="156">
        <v>10</v>
      </c>
      <c r="E170" s="157">
        <v>0.3</v>
      </c>
      <c r="F170" s="157">
        <v>0.3</v>
      </c>
      <c r="G170" s="157">
        <v>900</v>
      </c>
      <c r="H170" s="158" t="s">
        <v>358</v>
      </c>
      <c r="I170" s="157">
        <v>0.02</v>
      </c>
      <c r="J170" s="181">
        <v>20000000000</v>
      </c>
      <c r="K170" s="159">
        <v>20000000000</v>
      </c>
      <c r="L170" s="159">
        <v>10000000000000</v>
      </c>
      <c r="M170" s="157">
        <v>300000000000</v>
      </c>
      <c r="N170" s="157">
        <v>300000000000</v>
      </c>
      <c r="O170" s="157">
        <v>900000000000000</v>
      </c>
      <c r="P170" s="156">
        <v>20000000000</v>
      </c>
      <c r="Q170" s="183">
        <v>10</v>
      </c>
      <c r="R170" s="188">
        <v>100000</v>
      </c>
      <c r="S170" t="e">
        <v>#N/A</v>
      </c>
    </row>
    <row r="171" spans="1:19" ht="15" x14ac:dyDescent="0.25">
      <c r="A171" t="s">
        <v>28</v>
      </c>
      <c r="B171" s="156">
        <v>0.02</v>
      </c>
      <c r="C171" s="156">
        <v>0.02</v>
      </c>
      <c r="D171" s="156">
        <v>20</v>
      </c>
      <c r="E171" s="157">
        <v>0.3</v>
      </c>
      <c r="F171" s="157">
        <v>0.3</v>
      </c>
      <c r="G171" s="157">
        <v>900</v>
      </c>
      <c r="H171" s="158" t="s">
        <v>358</v>
      </c>
      <c r="I171" s="157">
        <v>0.02</v>
      </c>
      <c r="J171" s="181">
        <v>20000000000</v>
      </c>
      <c r="K171" s="159">
        <v>20000000000</v>
      </c>
      <c r="L171" s="159">
        <v>20000000000000</v>
      </c>
      <c r="M171" s="157">
        <v>300000000000</v>
      </c>
      <c r="N171" s="157">
        <v>300000000000</v>
      </c>
      <c r="O171" s="157">
        <v>900000000000000</v>
      </c>
      <c r="P171" s="156">
        <v>20000000000</v>
      </c>
      <c r="Q171" s="183">
        <v>10</v>
      </c>
      <c r="R171" s="188">
        <v>100000</v>
      </c>
      <c r="S171" t="e">
        <v>#N/A</v>
      </c>
    </row>
    <row r="172" spans="1:19" ht="15" x14ac:dyDescent="0.25">
      <c r="A172" t="s">
        <v>29</v>
      </c>
      <c r="B172" s="156" t="s">
        <v>362</v>
      </c>
      <c r="C172" s="156" t="s">
        <v>362</v>
      </c>
      <c r="D172" s="156" t="s">
        <v>362</v>
      </c>
      <c r="E172" s="157" t="s">
        <v>362</v>
      </c>
      <c r="F172" s="157" t="s">
        <v>362</v>
      </c>
      <c r="G172" s="157" t="s">
        <v>362</v>
      </c>
      <c r="H172" s="161" t="s">
        <v>362</v>
      </c>
      <c r="I172" s="157" t="s">
        <v>362</v>
      </c>
      <c r="J172" s="181" t="s">
        <v>362</v>
      </c>
      <c r="K172" s="159" t="s">
        <v>362</v>
      </c>
      <c r="L172" s="159" t="s">
        <v>362</v>
      </c>
      <c r="M172" s="157" t="s">
        <v>362</v>
      </c>
      <c r="N172" s="157" t="s">
        <v>362</v>
      </c>
      <c r="O172" s="157" t="s">
        <v>362</v>
      </c>
      <c r="P172" s="164" t="s">
        <v>362</v>
      </c>
      <c r="Q172" s="183">
        <v>10000</v>
      </c>
      <c r="R172" s="188">
        <v>1000000000</v>
      </c>
      <c r="S172" t="e">
        <v>#N/A</v>
      </c>
    </row>
    <row r="173" spans="1:19" ht="15" x14ac:dyDescent="0.25">
      <c r="A173" t="s">
        <v>30</v>
      </c>
      <c r="B173" s="156">
        <v>0.08</v>
      </c>
      <c r="C173" s="156">
        <v>0.08</v>
      </c>
      <c r="D173" s="156">
        <v>40</v>
      </c>
      <c r="E173" s="157">
        <v>1</v>
      </c>
      <c r="F173" s="157">
        <v>1</v>
      </c>
      <c r="G173" s="157">
        <v>3000</v>
      </c>
      <c r="H173" s="158" t="s">
        <v>358</v>
      </c>
      <c r="I173" s="157">
        <v>0.08</v>
      </c>
      <c r="J173" s="181">
        <v>80000000000</v>
      </c>
      <c r="K173" s="159">
        <v>80000000000</v>
      </c>
      <c r="L173" s="159">
        <v>40000000000000</v>
      </c>
      <c r="M173" s="157">
        <v>1000000000000</v>
      </c>
      <c r="N173" s="157">
        <v>1000000000000</v>
      </c>
      <c r="O173" s="157">
        <v>3000000000000000</v>
      </c>
      <c r="P173" s="156">
        <v>80000000000</v>
      </c>
      <c r="Q173" s="183">
        <v>10</v>
      </c>
      <c r="R173" s="188">
        <v>1000000</v>
      </c>
      <c r="S173">
        <v>0.85420944558521505</v>
      </c>
    </row>
    <row r="174" spans="1:19" ht="15" x14ac:dyDescent="0.25">
      <c r="A174" t="s">
        <v>31</v>
      </c>
      <c r="B174" s="156">
        <v>0.04</v>
      </c>
      <c r="C174" s="156">
        <v>0.04</v>
      </c>
      <c r="D174" s="156">
        <v>20</v>
      </c>
      <c r="E174" s="157">
        <v>0.3</v>
      </c>
      <c r="F174" s="157">
        <v>0.3</v>
      </c>
      <c r="G174" s="157">
        <v>900</v>
      </c>
      <c r="H174" s="158" t="s">
        <v>358</v>
      </c>
      <c r="I174" s="157">
        <v>0.04</v>
      </c>
      <c r="J174" s="181">
        <v>40000000000</v>
      </c>
      <c r="K174" s="159">
        <v>40000000000</v>
      </c>
      <c r="L174" s="159">
        <v>20000000000000</v>
      </c>
      <c r="M174" s="157">
        <v>300000000000</v>
      </c>
      <c r="N174" s="157">
        <v>300000000000</v>
      </c>
      <c r="O174" s="157">
        <v>900000000000000</v>
      </c>
      <c r="P174" s="156">
        <v>40000000000</v>
      </c>
      <c r="Q174" s="183">
        <v>10</v>
      </c>
      <c r="R174" s="188">
        <v>100000</v>
      </c>
      <c r="S174">
        <v>2.9431895961670002E-4</v>
      </c>
    </row>
    <row r="175" spans="1:19" ht="15" x14ac:dyDescent="0.25">
      <c r="A175" t="s">
        <v>76</v>
      </c>
      <c r="B175" s="156">
        <v>300</v>
      </c>
      <c r="C175" s="156">
        <v>2000</v>
      </c>
      <c r="D175" s="156">
        <v>300</v>
      </c>
      <c r="E175" s="157">
        <v>40</v>
      </c>
      <c r="F175" s="157">
        <v>20</v>
      </c>
      <c r="G175" s="157">
        <v>60000</v>
      </c>
      <c r="H175" s="158" t="s">
        <v>358</v>
      </c>
      <c r="I175" s="157">
        <v>300</v>
      </c>
      <c r="J175" s="181">
        <v>300000000000000</v>
      </c>
      <c r="K175" s="159">
        <v>2000000000000000</v>
      </c>
      <c r="L175" s="159">
        <v>300000000000000</v>
      </c>
      <c r="M175" s="157">
        <v>40000000000000</v>
      </c>
      <c r="N175" s="157">
        <v>20000000000000</v>
      </c>
      <c r="O175" s="157">
        <v>6E+16</v>
      </c>
      <c r="P175" s="156">
        <v>300000000000000</v>
      </c>
      <c r="Q175" s="183">
        <v>1000</v>
      </c>
      <c r="R175" s="188">
        <v>100000000</v>
      </c>
      <c r="S175" t="e">
        <v>#N/A</v>
      </c>
    </row>
    <row r="176" spans="1:19" ht="15" x14ac:dyDescent="0.25">
      <c r="A176" t="s">
        <v>77</v>
      </c>
      <c r="B176" s="156">
        <v>0.3</v>
      </c>
      <c r="C176" s="156">
        <v>0.3</v>
      </c>
      <c r="D176" s="156">
        <v>20</v>
      </c>
      <c r="E176" s="157">
        <v>1</v>
      </c>
      <c r="F176" s="157">
        <v>0.6</v>
      </c>
      <c r="G176" s="157">
        <v>1800</v>
      </c>
      <c r="H176" s="158" t="s">
        <v>358</v>
      </c>
      <c r="I176" s="157">
        <v>0.3</v>
      </c>
      <c r="J176" s="181">
        <v>300000000000</v>
      </c>
      <c r="K176" s="159">
        <v>300000000000</v>
      </c>
      <c r="L176" s="159">
        <v>20000000000000</v>
      </c>
      <c r="M176" s="157">
        <v>1000000000000</v>
      </c>
      <c r="N176" s="157">
        <v>600000000000</v>
      </c>
      <c r="O176" s="157">
        <v>1800000000000000</v>
      </c>
      <c r="P176" s="156">
        <v>300000000000</v>
      </c>
      <c r="Q176" s="183">
        <v>100</v>
      </c>
      <c r="R176" s="188">
        <v>1000000</v>
      </c>
      <c r="S176">
        <v>7.5290896646133003E-3</v>
      </c>
    </row>
    <row r="177" spans="1:19" ht="15" x14ac:dyDescent="0.25">
      <c r="A177" t="s">
        <v>405</v>
      </c>
      <c r="B177" s="156">
        <v>0.06</v>
      </c>
      <c r="C177" s="156">
        <v>0.06</v>
      </c>
      <c r="D177" s="156" t="s">
        <v>362</v>
      </c>
      <c r="E177" s="157">
        <v>0.9</v>
      </c>
      <c r="F177" s="157">
        <v>0.6</v>
      </c>
      <c r="G177" s="157">
        <v>1800</v>
      </c>
      <c r="H177" s="158" t="s">
        <v>358</v>
      </c>
      <c r="I177" s="157">
        <v>0.06</v>
      </c>
      <c r="J177" s="181">
        <v>60000000000</v>
      </c>
      <c r="K177" s="159">
        <v>60000000000</v>
      </c>
      <c r="L177" s="159" t="s">
        <v>362</v>
      </c>
      <c r="M177" s="157">
        <v>900000000000</v>
      </c>
      <c r="N177" s="157">
        <v>600000000000</v>
      </c>
      <c r="O177" s="157">
        <v>1800000000000000</v>
      </c>
      <c r="P177" s="156">
        <v>60000000000</v>
      </c>
      <c r="Q177" s="183">
        <v>100</v>
      </c>
      <c r="R177" s="188">
        <v>1000000000</v>
      </c>
      <c r="S177" t="e">
        <v>#N/A</v>
      </c>
    </row>
    <row r="178" spans="1:19" ht="15" x14ac:dyDescent="0.25">
      <c r="A178" t="s">
        <v>11</v>
      </c>
      <c r="B178" s="156">
        <v>0.03</v>
      </c>
      <c r="C178" s="156">
        <v>0.03</v>
      </c>
      <c r="D178" s="156">
        <v>20</v>
      </c>
      <c r="E178" s="157">
        <v>0.5</v>
      </c>
      <c r="F178" s="157">
        <v>0.5</v>
      </c>
      <c r="G178" s="157">
        <v>1500</v>
      </c>
      <c r="H178" s="158" t="s">
        <v>358</v>
      </c>
      <c r="I178" s="157">
        <v>0.03</v>
      </c>
      <c r="J178" s="181">
        <v>30000000000</v>
      </c>
      <c r="K178" s="159">
        <v>30000000000</v>
      </c>
      <c r="L178" s="159">
        <v>20000000000000</v>
      </c>
      <c r="M178" s="157">
        <v>500000000000</v>
      </c>
      <c r="N178" s="157">
        <v>500000000000</v>
      </c>
      <c r="O178" s="157">
        <v>1500000000000000</v>
      </c>
      <c r="P178" s="156">
        <v>30000000000</v>
      </c>
      <c r="Q178" s="183">
        <v>10</v>
      </c>
      <c r="R178" s="188">
        <v>1000000</v>
      </c>
      <c r="S178">
        <v>2.6</v>
      </c>
    </row>
    <row r="179" spans="1:19" ht="15" x14ac:dyDescent="0.25">
      <c r="A179" t="s">
        <v>12</v>
      </c>
      <c r="B179" s="156">
        <v>0.02</v>
      </c>
      <c r="C179" s="156">
        <v>0.02</v>
      </c>
      <c r="D179" s="156">
        <v>20</v>
      </c>
      <c r="E179" s="157">
        <v>0.2</v>
      </c>
      <c r="F179" s="157">
        <v>0.2</v>
      </c>
      <c r="G179" s="157">
        <v>600</v>
      </c>
      <c r="H179" s="158" t="s">
        <v>358</v>
      </c>
      <c r="I179" s="157">
        <v>0.02</v>
      </c>
      <c r="J179" s="181">
        <v>20000000000</v>
      </c>
      <c r="K179" s="159">
        <v>20000000000</v>
      </c>
      <c r="L179" s="159">
        <v>20000000000000</v>
      </c>
      <c r="M179" s="157">
        <v>200000000000</v>
      </c>
      <c r="N179" s="157">
        <v>200000000000</v>
      </c>
      <c r="O179" s="157">
        <v>600000000000000</v>
      </c>
      <c r="P179" s="156">
        <v>20000000000</v>
      </c>
      <c r="Q179" s="183">
        <v>10</v>
      </c>
      <c r="R179" s="188">
        <v>100000</v>
      </c>
      <c r="S179">
        <v>1.7111567419576001E-3</v>
      </c>
    </row>
    <row r="180" spans="1:19" ht="15" x14ac:dyDescent="0.25">
      <c r="A180" t="s">
        <v>72</v>
      </c>
      <c r="B180" s="156">
        <v>300</v>
      </c>
      <c r="C180" s="156">
        <v>2000</v>
      </c>
      <c r="D180" s="156">
        <v>300</v>
      </c>
      <c r="E180" s="157">
        <v>40</v>
      </c>
      <c r="F180" s="157">
        <v>30</v>
      </c>
      <c r="G180" s="157">
        <v>90000</v>
      </c>
      <c r="H180" s="158" t="s">
        <v>358</v>
      </c>
      <c r="I180" s="157">
        <v>300</v>
      </c>
      <c r="J180" s="181">
        <v>300000000000000</v>
      </c>
      <c r="K180" s="159">
        <v>2000000000000000</v>
      </c>
      <c r="L180" s="159">
        <v>300000000000000</v>
      </c>
      <c r="M180" s="157">
        <v>40000000000000</v>
      </c>
      <c r="N180" s="157">
        <v>30000000000000</v>
      </c>
      <c r="O180" s="157">
        <v>9E+16</v>
      </c>
      <c r="P180" s="156">
        <v>300000000000000</v>
      </c>
      <c r="Q180" s="183">
        <v>10000</v>
      </c>
      <c r="R180" s="188">
        <v>10000000</v>
      </c>
      <c r="S180" t="e">
        <v>#N/A</v>
      </c>
    </row>
    <row r="181" spans="1:19" ht="15" x14ac:dyDescent="0.25">
      <c r="A181" t="s">
        <v>73</v>
      </c>
      <c r="B181" s="156">
        <v>0.04</v>
      </c>
      <c r="C181" s="156">
        <v>0.04</v>
      </c>
      <c r="D181" s="156">
        <v>30</v>
      </c>
      <c r="E181" s="157">
        <v>0.7</v>
      </c>
      <c r="F181" s="157">
        <v>0.7</v>
      </c>
      <c r="G181" s="157">
        <v>2100</v>
      </c>
      <c r="H181" s="158" t="s">
        <v>358</v>
      </c>
      <c r="I181" s="157">
        <v>0.04</v>
      </c>
      <c r="J181" s="181">
        <v>40000000000</v>
      </c>
      <c r="K181" s="159">
        <v>40000000000</v>
      </c>
      <c r="L181" s="159">
        <v>30000000000000</v>
      </c>
      <c r="M181" s="157">
        <v>700000000000</v>
      </c>
      <c r="N181" s="157">
        <v>700000000000</v>
      </c>
      <c r="O181" s="157">
        <v>2100000000000000</v>
      </c>
      <c r="P181" s="156">
        <v>40000000000</v>
      </c>
      <c r="Q181" s="183">
        <v>10</v>
      </c>
      <c r="R181" s="188">
        <v>1000000</v>
      </c>
      <c r="S181" t="e">
        <v>#N/A</v>
      </c>
    </row>
    <row r="182" spans="1:19" ht="15" x14ac:dyDescent="0.25">
      <c r="A182" t="s">
        <v>74</v>
      </c>
      <c r="B182" s="156">
        <v>0.09</v>
      </c>
      <c r="C182" s="156">
        <v>0.09</v>
      </c>
      <c r="D182" s="156">
        <v>60</v>
      </c>
      <c r="E182" s="157">
        <v>1</v>
      </c>
      <c r="F182" s="157">
        <v>1</v>
      </c>
      <c r="G182" s="157">
        <v>3000</v>
      </c>
      <c r="H182" s="158" t="s">
        <v>358</v>
      </c>
      <c r="I182" s="157">
        <v>0.09</v>
      </c>
      <c r="J182" s="181">
        <v>90000000000</v>
      </c>
      <c r="K182" s="159">
        <v>90000000000</v>
      </c>
      <c r="L182" s="159">
        <v>60000000000000</v>
      </c>
      <c r="M182" s="157">
        <v>1000000000000</v>
      </c>
      <c r="N182" s="157">
        <v>1000000000000</v>
      </c>
      <c r="O182" s="157">
        <v>3000000000000000</v>
      </c>
      <c r="P182" s="156">
        <v>90000000000</v>
      </c>
      <c r="Q182" s="183">
        <v>10</v>
      </c>
      <c r="R182" s="188">
        <v>1000000</v>
      </c>
      <c r="S182">
        <v>9.6098562628336798E-2</v>
      </c>
    </row>
    <row r="183" spans="1:19" ht="15" x14ac:dyDescent="0.25">
      <c r="A183" t="s">
        <v>75</v>
      </c>
      <c r="B183" s="156">
        <v>0.1</v>
      </c>
      <c r="C183" s="156">
        <v>0.1</v>
      </c>
      <c r="D183" s="156">
        <v>20</v>
      </c>
      <c r="E183" s="157">
        <v>0.9</v>
      </c>
      <c r="F183" s="157">
        <v>0.6</v>
      </c>
      <c r="G183" s="157">
        <v>1800</v>
      </c>
      <c r="H183" s="158" t="s">
        <v>358</v>
      </c>
      <c r="I183" s="157">
        <v>0.1</v>
      </c>
      <c r="J183" s="181">
        <v>100000000000</v>
      </c>
      <c r="K183" s="159">
        <v>100000000000</v>
      </c>
      <c r="L183" s="159">
        <v>20000000000000</v>
      </c>
      <c r="M183" s="157">
        <v>900000000000</v>
      </c>
      <c r="N183" s="157">
        <v>600000000000</v>
      </c>
      <c r="O183" s="157">
        <v>1800000000000000</v>
      </c>
      <c r="P183" s="156">
        <v>100000000000</v>
      </c>
      <c r="Q183" s="183">
        <v>10</v>
      </c>
      <c r="R183" s="188">
        <v>1000000</v>
      </c>
      <c r="S183" t="e">
        <v>#N/A</v>
      </c>
    </row>
    <row r="184" spans="1:19" ht="15" x14ac:dyDescent="0.25">
      <c r="A184" t="s">
        <v>127</v>
      </c>
      <c r="B184" s="156">
        <v>0.6</v>
      </c>
      <c r="C184" s="156">
        <v>0.6</v>
      </c>
      <c r="D184" s="156">
        <v>40</v>
      </c>
      <c r="E184" s="157">
        <v>6</v>
      </c>
      <c r="F184" s="157">
        <v>0.6</v>
      </c>
      <c r="G184" s="157">
        <v>1800</v>
      </c>
      <c r="H184" s="158" t="s">
        <v>358</v>
      </c>
      <c r="I184" s="157">
        <v>0.6</v>
      </c>
      <c r="J184" s="181">
        <v>600000000000</v>
      </c>
      <c r="K184" s="159">
        <v>600000000000</v>
      </c>
      <c r="L184" s="159">
        <v>40000000000000</v>
      </c>
      <c r="M184" s="157">
        <v>6000000000000</v>
      </c>
      <c r="N184" s="157">
        <v>600000000000</v>
      </c>
      <c r="O184" s="157">
        <v>1800000000000000</v>
      </c>
      <c r="P184" s="156">
        <v>600000000000</v>
      </c>
      <c r="Q184" s="183">
        <v>100</v>
      </c>
      <c r="R184" s="188">
        <v>1000000</v>
      </c>
      <c r="S184" t="e">
        <v>#N/A</v>
      </c>
    </row>
    <row r="185" spans="1:19" ht="15" x14ac:dyDescent="0.25">
      <c r="A185" t="s">
        <v>128</v>
      </c>
      <c r="B185" s="156">
        <v>0.2</v>
      </c>
      <c r="C185" s="156">
        <v>0.2</v>
      </c>
      <c r="D185" s="156">
        <v>10</v>
      </c>
      <c r="E185" s="157">
        <v>0.6</v>
      </c>
      <c r="F185" s="157">
        <v>0.5</v>
      </c>
      <c r="G185" s="157">
        <v>1500</v>
      </c>
      <c r="H185" s="158" t="s">
        <v>358</v>
      </c>
      <c r="I185" s="157">
        <v>0.2</v>
      </c>
      <c r="J185" s="181">
        <v>200000000000</v>
      </c>
      <c r="K185" s="159">
        <v>200000000000</v>
      </c>
      <c r="L185" s="159">
        <v>10000000000000</v>
      </c>
      <c r="M185" s="157">
        <v>600000000000</v>
      </c>
      <c r="N185" s="157">
        <v>500000000000</v>
      </c>
      <c r="O185" s="157">
        <v>1500000000000000</v>
      </c>
      <c r="P185" s="156">
        <v>200000000000</v>
      </c>
      <c r="Q185" s="183">
        <v>100</v>
      </c>
      <c r="R185" s="188">
        <v>1000000</v>
      </c>
      <c r="S185" t="e">
        <v>#N/A</v>
      </c>
    </row>
    <row r="186" spans="1:19" ht="15" x14ac:dyDescent="0.25">
      <c r="A186" t="s">
        <v>40</v>
      </c>
      <c r="B186" s="156">
        <v>1000</v>
      </c>
      <c r="C186" s="156" t="s">
        <v>362</v>
      </c>
      <c r="D186" s="156">
        <v>1000</v>
      </c>
      <c r="E186" s="157" t="s">
        <v>362</v>
      </c>
      <c r="F186" s="157" t="s">
        <v>362</v>
      </c>
      <c r="G186" s="157" t="s">
        <v>362</v>
      </c>
      <c r="H186" s="161" t="s">
        <v>362</v>
      </c>
      <c r="I186" s="157">
        <v>1000</v>
      </c>
      <c r="J186" s="181">
        <v>1000000000000000</v>
      </c>
      <c r="K186" s="159" t="s">
        <v>362</v>
      </c>
      <c r="L186" s="159">
        <v>1000000000000000</v>
      </c>
      <c r="M186" s="157" t="e">
        <v>#VALUE!</v>
      </c>
      <c r="N186" s="157" t="e">
        <v>#VALUE!</v>
      </c>
      <c r="O186" s="157" t="e">
        <v>#VALUE!</v>
      </c>
      <c r="P186" s="156">
        <v>1000000000000000</v>
      </c>
      <c r="Q186" s="183">
        <v>10000</v>
      </c>
      <c r="R186" s="188">
        <v>100000000</v>
      </c>
      <c r="S186" t="e">
        <v>#N/A</v>
      </c>
    </row>
    <row r="187" spans="1:19" ht="15" x14ac:dyDescent="0.25">
      <c r="A187" t="s">
        <v>41</v>
      </c>
      <c r="B187" s="156">
        <v>60</v>
      </c>
      <c r="C187" s="156" t="s">
        <v>362</v>
      </c>
      <c r="D187" s="156">
        <v>60</v>
      </c>
      <c r="E187" s="157">
        <v>40</v>
      </c>
      <c r="F187" s="157">
        <v>30</v>
      </c>
      <c r="G187" s="160">
        <v>600</v>
      </c>
      <c r="H187" s="158" t="s">
        <v>361</v>
      </c>
      <c r="I187" s="157">
        <v>60</v>
      </c>
      <c r="J187" s="181">
        <v>60000000000000</v>
      </c>
      <c r="K187" s="159" t="s">
        <v>362</v>
      </c>
      <c r="L187" s="159">
        <v>60000000000000</v>
      </c>
      <c r="M187" s="157">
        <v>40000000000000</v>
      </c>
      <c r="N187" s="157">
        <v>30000000000000</v>
      </c>
      <c r="O187" s="157">
        <v>600000000000000</v>
      </c>
      <c r="P187" s="156">
        <v>60000000000000</v>
      </c>
      <c r="Q187" s="183">
        <v>100000</v>
      </c>
      <c r="R187" s="188">
        <v>100000000</v>
      </c>
      <c r="S187">
        <v>100</v>
      </c>
    </row>
    <row r="188" spans="1:19" ht="15" x14ac:dyDescent="0.25">
      <c r="A188" t="s">
        <v>42</v>
      </c>
      <c r="B188" s="156">
        <v>0.1</v>
      </c>
      <c r="C188" s="156">
        <v>0.1</v>
      </c>
      <c r="D188" s="156">
        <v>20</v>
      </c>
      <c r="E188" s="157">
        <v>0.4</v>
      </c>
      <c r="F188" s="157">
        <v>0.4</v>
      </c>
      <c r="G188" s="157">
        <v>1200</v>
      </c>
      <c r="H188" s="158" t="s">
        <v>358</v>
      </c>
      <c r="I188" s="157">
        <v>0.1</v>
      </c>
      <c r="J188" s="181">
        <v>100000000000</v>
      </c>
      <c r="K188" s="159">
        <v>100000000000</v>
      </c>
      <c r="L188" s="159">
        <v>20000000000000</v>
      </c>
      <c r="M188" s="157">
        <v>400000000000</v>
      </c>
      <c r="N188" s="157">
        <v>400000000000</v>
      </c>
      <c r="O188" s="157">
        <v>1200000000000000</v>
      </c>
      <c r="P188" s="156">
        <v>100000000000</v>
      </c>
      <c r="Q188" s="183">
        <v>10</v>
      </c>
      <c r="R188" s="188">
        <v>1000000</v>
      </c>
      <c r="S188">
        <v>2.8747433264889998E-4</v>
      </c>
    </row>
    <row r="189" spans="1:19" ht="15" x14ac:dyDescent="0.25">
      <c r="A189" t="s">
        <v>406</v>
      </c>
      <c r="B189" s="156">
        <v>100</v>
      </c>
      <c r="C189" s="156">
        <v>100</v>
      </c>
      <c r="D189" s="156">
        <v>200</v>
      </c>
      <c r="E189" s="157">
        <v>40</v>
      </c>
      <c r="F189" s="157">
        <v>40</v>
      </c>
      <c r="G189" s="157">
        <v>120000</v>
      </c>
      <c r="H189" s="158" t="s">
        <v>358</v>
      </c>
      <c r="I189" s="157">
        <v>100</v>
      </c>
      <c r="J189" s="181">
        <v>100000000000000</v>
      </c>
      <c r="K189" s="159">
        <v>100000000000000</v>
      </c>
      <c r="L189" s="159">
        <v>200000000000000</v>
      </c>
      <c r="M189" s="157">
        <v>40000000000000</v>
      </c>
      <c r="N189" s="157">
        <v>40000000000000</v>
      </c>
      <c r="O189" s="157">
        <v>1.2E+17</v>
      </c>
      <c r="P189" s="156">
        <v>100000000000000</v>
      </c>
      <c r="Q189" s="183">
        <v>1000</v>
      </c>
      <c r="R189" s="188">
        <v>10000000</v>
      </c>
      <c r="S189" t="e">
        <v>#N/A</v>
      </c>
    </row>
    <row r="190" spans="1:19" ht="15" x14ac:dyDescent="0.25">
      <c r="A190" t="s">
        <v>407</v>
      </c>
      <c r="B190" s="156">
        <v>7.0000000000000001E-3</v>
      </c>
      <c r="C190" s="156">
        <v>7.0000000000000001E-3</v>
      </c>
      <c r="D190" s="156">
        <v>7.0000000000000001E-3</v>
      </c>
      <c r="E190" s="157">
        <v>9</v>
      </c>
      <c r="F190" s="157">
        <v>0.02</v>
      </c>
      <c r="G190" s="157">
        <v>60</v>
      </c>
      <c r="H190" s="158" t="s">
        <v>358</v>
      </c>
      <c r="I190" s="157">
        <v>7.0000000000000001E-3</v>
      </c>
      <c r="J190" s="181">
        <v>7000000000</v>
      </c>
      <c r="K190" s="159">
        <v>7000000000</v>
      </c>
      <c r="L190" s="159">
        <v>7000000000</v>
      </c>
      <c r="M190" s="157">
        <v>9000000000000</v>
      </c>
      <c r="N190" s="157">
        <v>20000000000</v>
      </c>
      <c r="O190" s="157">
        <v>60000000000000</v>
      </c>
      <c r="P190" s="156">
        <v>7000000000</v>
      </c>
      <c r="Q190" s="183">
        <v>100</v>
      </c>
      <c r="R190" s="188">
        <v>100000</v>
      </c>
      <c r="S190" t="e">
        <v>#N/A</v>
      </c>
    </row>
    <row r="191" spans="1:19" ht="15" x14ac:dyDescent="0.25">
      <c r="A191" t="s">
        <v>408</v>
      </c>
      <c r="B191" s="156">
        <v>0.8</v>
      </c>
      <c r="C191" s="156">
        <v>0.8</v>
      </c>
      <c r="D191" s="156">
        <v>7</v>
      </c>
      <c r="E191" s="157">
        <v>20</v>
      </c>
      <c r="F191" s="157">
        <v>2</v>
      </c>
      <c r="G191" s="157">
        <v>6000</v>
      </c>
      <c r="H191" s="158" t="s">
        <v>358</v>
      </c>
      <c r="I191" s="157">
        <v>0.8</v>
      </c>
      <c r="J191" s="181">
        <v>800000000000</v>
      </c>
      <c r="K191" s="159">
        <v>800000000000</v>
      </c>
      <c r="L191" s="159">
        <v>7000000000000</v>
      </c>
      <c r="M191" s="157">
        <v>20000000000000</v>
      </c>
      <c r="N191" s="157">
        <v>2000000000000</v>
      </c>
      <c r="O191" s="157">
        <v>6000000000000000</v>
      </c>
      <c r="P191" s="156">
        <v>800000000000</v>
      </c>
      <c r="Q191" s="183">
        <v>1000</v>
      </c>
      <c r="R191" s="188">
        <v>10000000</v>
      </c>
      <c r="S191" t="e">
        <v>#N/A</v>
      </c>
    </row>
    <row r="192" spans="1:19" ht="15" x14ac:dyDescent="0.25">
      <c r="A192" t="s">
        <v>254</v>
      </c>
      <c r="B192" s="156">
        <v>7.0000000000000007E-2</v>
      </c>
      <c r="C192" s="156">
        <v>0.3</v>
      </c>
      <c r="D192" s="156">
        <v>7.0000000000000007E-2</v>
      </c>
      <c r="E192" s="157">
        <v>20</v>
      </c>
      <c r="F192" s="157">
        <v>2E-3</v>
      </c>
      <c r="G192" s="157">
        <v>6</v>
      </c>
      <c r="H192" s="158" t="s">
        <v>358</v>
      </c>
      <c r="I192" s="157">
        <v>7.0000000000000007E-2</v>
      </c>
      <c r="J192" s="181">
        <v>70000000000</v>
      </c>
      <c r="K192" s="159">
        <v>300000000000</v>
      </c>
      <c r="L192" s="159">
        <v>70000000000</v>
      </c>
      <c r="M192" s="157">
        <v>20000000000000</v>
      </c>
      <c r="N192" s="157">
        <v>2000000000</v>
      </c>
      <c r="O192" s="157">
        <v>6000000000000</v>
      </c>
      <c r="P192" s="156">
        <v>70000000000</v>
      </c>
      <c r="Q192" s="183">
        <v>1</v>
      </c>
      <c r="R192" s="188">
        <v>1000</v>
      </c>
      <c r="S192">
        <v>2140000</v>
      </c>
    </row>
    <row r="193" spans="1:19" ht="15" x14ac:dyDescent="0.25">
      <c r="A193" t="s">
        <v>187</v>
      </c>
      <c r="B193" s="156">
        <v>0.5</v>
      </c>
      <c r="C193" s="156">
        <v>0.5</v>
      </c>
      <c r="D193" s="156">
        <v>60</v>
      </c>
      <c r="E193" s="157">
        <v>7</v>
      </c>
      <c r="F193" s="157">
        <v>0.4</v>
      </c>
      <c r="G193" s="157">
        <v>1200</v>
      </c>
      <c r="H193" s="158" t="s">
        <v>358</v>
      </c>
      <c r="I193" s="157">
        <v>0.5</v>
      </c>
      <c r="J193" s="181">
        <v>500000000000</v>
      </c>
      <c r="K193" s="159">
        <v>500000000000</v>
      </c>
      <c r="L193" s="159">
        <v>60000000000000</v>
      </c>
      <c r="M193" s="157">
        <v>7000000000000</v>
      </c>
      <c r="N193" s="157">
        <v>400000000000</v>
      </c>
      <c r="O193" s="157">
        <v>1200000000000000</v>
      </c>
      <c r="P193" s="156">
        <v>500000000000</v>
      </c>
      <c r="Q193" s="183">
        <v>100</v>
      </c>
      <c r="R193" s="188">
        <v>10000000</v>
      </c>
      <c r="S193">
        <v>6.4613278576318E-3</v>
      </c>
    </row>
    <row r="194" spans="1:19" ht="15" x14ac:dyDescent="0.25">
      <c r="A194" t="s">
        <v>156</v>
      </c>
      <c r="B194" s="156">
        <v>0.1</v>
      </c>
      <c r="C194" s="156">
        <v>0.1</v>
      </c>
      <c r="D194" s="156">
        <v>70</v>
      </c>
      <c r="E194" s="157">
        <v>1</v>
      </c>
      <c r="F194" s="157">
        <v>1</v>
      </c>
      <c r="G194" s="157">
        <v>3000</v>
      </c>
      <c r="H194" s="158" t="s">
        <v>358</v>
      </c>
      <c r="I194" s="157">
        <v>0.1</v>
      </c>
      <c r="J194" s="181">
        <v>100000000000</v>
      </c>
      <c r="K194" s="159">
        <v>100000000000</v>
      </c>
      <c r="L194" s="159">
        <v>70000000000000</v>
      </c>
      <c r="M194" s="157">
        <v>1000000000000</v>
      </c>
      <c r="N194" s="157">
        <v>1000000000000</v>
      </c>
      <c r="O194" s="157">
        <v>3000000000000000</v>
      </c>
      <c r="P194" s="156">
        <v>100000000000</v>
      </c>
      <c r="Q194" s="183">
        <v>10</v>
      </c>
      <c r="R194" s="188">
        <v>1000000</v>
      </c>
      <c r="S194" t="e">
        <v>#N/A</v>
      </c>
    </row>
    <row r="195" spans="1:19" ht="15" x14ac:dyDescent="0.25">
      <c r="A195" t="s">
        <v>157</v>
      </c>
      <c r="B195" s="156">
        <v>2</v>
      </c>
      <c r="C195" s="156">
        <v>2</v>
      </c>
      <c r="D195" s="156">
        <v>90</v>
      </c>
      <c r="E195" s="157">
        <v>10</v>
      </c>
      <c r="F195" s="157">
        <v>2</v>
      </c>
      <c r="G195" s="157">
        <v>6000</v>
      </c>
      <c r="H195" s="158" t="s">
        <v>358</v>
      </c>
      <c r="I195" s="157">
        <v>2</v>
      </c>
      <c r="J195" s="181">
        <v>2000000000000</v>
      </c>
      <c r="K195" s="159">
        <v>2000000000000</v>
      </c>
      <c r="L195" s="159">
        <v>90000000000000</v>
      </c>
      <c r="M195" s="157">
        <v>10000000000000</v>
      </c>
      <c r="N195" s="157">
        <v>2000000000000</v>
      </c>
      <c r="O195" s="157">
        <v>6000000000000000</v>
      </c>
      <c r="P195" s="156">
        <v>2000000000000</v>
      </c>
      <c r="Q195" s="183">
        <v>100</v>
      </c>
      <c r="R195" s="188">
        <v>10000000</v>
      </c>
      <c r="S195" t="e">
        <v>#N/A</v>
      </c>
    </row>
    <row r="196" spans="1:19" ht="15" x14ac:dyDescent="0.25">
      <c r="A196" t="s">
        <v>158</v>
      </c>
      <c r="B196" s="156">
        <v>1</v>
      </c>
      <c r="C196" s="156">
        <v>1</v>
      </c>
      <c r="D196" s="156">
        <v>700</v>
      </c>
      <c r="E196" s="157">
        <v>40</v>
      </c>
      <c r="F196" s="157">
        <v>30</v>
      </c>
      <c r="G196" s="157">
        <v>90000</v>
      </c>
      <c r="H196" s="158" t="s">
        <v>358</v>
      </c>
      <c r="I196" s="157">
        <v>1</v>
      </c>
      <c r="J196" s="181">
        <v>1000000000000</v>
      </c>
      <c r="K196" s="159">
        <v>1000000000000</v>
      </c>
      <c r="L196" s="159">
        <v>700000000000000</v>
      </c>
      <c r="M196" s="157">
        <v>40000000000000</v>
      </c>
      <c r="N196" s="157">
        <v>30000000000000</v>
      </c>
      <c r="O196" s="157">
        <v>9E+16</v>
      </c>
      <c r="P196" s="156">
        <v>1000000000000</v>
      </c>
      <c r="Q196" s="183">
        <v>1000</v>
      </c>
      <c r="R196" s="188">
        <v>10000000</v>
      </c>
      <c r="S196" t="e">
        <v>#N/A</v>
      </c>
    </row>
    <row r="197" spans="1:19" ht="15" x14ac:dyDescent="0.25">
      <c r="A197" t="s">
        <v>159</v>
      </c>
      <c r="B197" s="156">
        <v>1</v>
      </c>
      <c r="C197" s="156">
        <v>1</v>
      </c>
      <c r="D197" s="156">
        <v>30</v>
      </c>
      <c r="E197" s="157">
        <v>2</v>
      </c>
      <c r="F197" s="157">
        <v>0.6</v>
      </c>
      <c r="G197" s="157">
        <v>1800</v>
      </c>
      <c r="H197" s="158" t="s">
        <v>358</v>
      </c>
      <c r="I197" s="157">
        <v>1</v>
      </c>
      <c r="J197" s="181">
        <v>1000000000000</v>
      </c>
      <c r="K197" s="159">
        <v>1000000000000</v>
      </c>
      <c r="L197" s="159">
        <v>30000000000000</v>
      </c>
      <c r="M197" s="157">
        <v>2000000000000</v>
      </c>
      <c r="N197" s="157">
        <v>600000000000</v>
      </c>
      <c r="O197" s="157">
        <v>1800000000000000</v>
      </c>
      <c r="P197" s="156">
        <v>1000000000000</v>
      </c>
      <c r="Q197" s="183">
        <v>100</v>
      </c>
      <c r="R197" s="188">
        <v>1000000</v>
      </c>
      <c r="S197" t="e">
        <v>#N/A</v>
      </c>
    </row>
    <row r="198" spans="1:19" ht="15" x14ac:dyDescent="0.25">
      <c r="A198" t="s">
        <v>409</v>
      </c>
      <c r="B198" s="156">
        <v>0.7</v>
      </c>
      <c r="C198" s="156">
        <v>0.7</v>
      </c>
      <c r="D198" s="156">
        <v>9</v>
      </c>
      <c r="E198" s="157">
        <v>0.3</v>
      </c>
      <c r="F198" s="157">
        <v>0.3</v>
      </c>
      <c r="G198" s="157">
        <v>900</v>
      </c>
      <c r="H198" s="158" t="s">
        <v>358</v>
      </c>
      <c r="I198" s="157">
        <v>0.7</v>
      </c>
      <c r="J198" s="181">
        <v>700000000000</v>
      </c>
      <c r="K198" s="159">
        <v>700000000000</v>
      </c>
      <c r="L198" s="159">
        <v>9000000000000</v>
      </c>
      <c r="M198" s="157">
        <v>300000000000</v>
      </c>
      <c r="N198" s="157">
        <v>300000000000</v>
      </c>
      <c r="O198" s="157">
        <v>900000000000000</v>
      </c>
      <c r="P198" s="156">
        <v>700000000000</v>
      </c>
      <c r="Q198" s="183">
        <v>100</v>
      </c>
      <c r="R198" s="188">
        <v>100000</v>
      </c>
      <c r="S198" t="e">
        <v>#N/A</v>
      </c>
    </row>
    <row r="199" spans="1:19" ht="15" x14ac:dyDescent="0.25">
      <c r="A199" t="s">
        <v>14</v>
      </c>
      <c r="B199" s="156">
        <v>10</v>
      </c>
      <c r="C199" s="156">
        <v>10</v>
      </c>
      <c r="D199" s="156">
        <v>20</v>
      </c>
      <c r="E199" s="157">
        <v>0.5</v>
      </c>
      <c r="F199" s="157">
        <v>0.5</v>
      </c>
      <c r="G199" s="157">
        <v>1500</v>
      </c>
      <c r="H199" s="158" t="s">
        <v>358</v>
      </c>
      <c r="I199" s="157">
        <v>10</v>
      </c>
      <c r="J199" s="181">
        <v>10000000000000</v>
      </c>
      <c r="K199" s="159">
        <v>10000000000000</v>
      </c>
      <c r="L199" s="159">
        <v>20000000000000</v>
      </c>
      <c r="M199" s="157">
        <v>500000000000</v>
      </c>
      <c r="N199" s="157">
        <v>500000000000</v>
      </c>
      <c r="O199" s="157">
        <v>1500000000000000</v>
      </c>
      <c r="P199" s="156">
        <v>10000000000000</v>
      </c>
      <c r="Q199" s="183">
        <v>1000</v>
      </c>
      <c r="R199" s="188">
        <v>100000</v>
      </c>
      <c r="S199">
        <v>3.9151266255989102E-2</v>
      </c>
    </row>
    <row r="200" spans="1:19" ht="15" x14ac:dyDescent="0.25">
      <c r="A200" t="s">
        <v>15</v>
      </c>
      <c r="B200" s="156">
        <v>200</v>
      </c>
      <c r="C200" s="156">
        <v>7000</v>
      </c>
      <c r="D200" s="156">
        <v>200</v>
      </c>
      <c r="E200" s="157">
        <v>40</v>
      </c>
      <c r="F200" s="157">
        <v>1</v>
      </c>
      <c r="G200" s="157">
        <v>3000</v>
      </c>
      <c r="H200" s="158" t="s">
        <v>358</v>
      </c>
      <c r="I200" s="157">
        <v>200</v>
      </c>
      <c r="J200" s="181">
        <v>200000000000000</v>
      </c>
      <c r="K200" s="159">
        <v>7000000000000000</v>
      </c>
      <c r="L200" s="159">
        <v>200000000000000</v>
      </c>
      <c r="M200" s="157">
        <v>40000000000000</v>
      </c>
      <c r="N200" s="157">
        <v>1000000000000</v>
      </c>
      <c r="O200" s="157">
        <v>3000000000000000</v>
      </c>
      <c r="P200" s="156">
        <v>200000000000000</v>
      </c>
      <c r="Q200" s="183">
        <v>100000</v>
      </c>
      <c r="R200" s="188">
        <v>100000000</v>
      </c>
      <c r="S200">
        <v>6.9541409993155404E-2</v>
      </c>
    </row>
    <row r="201" spans="1:19" ht="15" x14ac:dyDescent="0.25">
      <c r="A201" t="s">
        <v>180</v>
      </c>
      <c r="B201" s="156">
        <v>0.1</v>
      </c>
      <c r="C201" s="156">
        <v>0.1</v>
      </c>
      <c r="D201" s="156">
        <v>0.9</v>
      </c>
      <c r="E201" s="157">
        <v>2</v>
      </c>
      <c r="F201" s="157">
        <v>7.0000000000000007E-2</v>
      </c>
      <c r="G201" s="157">
        <v>210.00000000000003</v>
      </c>
      <c r="H201" s="158" t="s">
        <v>358</v>
      </c>
      <c r="I201" s="157">
        <v>0.1</v>
      </c>
      <c r="J201" s="181">
        <v>100000000000</v>
      </c>
      <c r="K201" s="159">
        <v>100000000000</v>
      </c>
      <c r="L201" s="159">
        <v>900000000000</v>
      </c>
      <c r="M201" s="157">
        <v>2000000000000</v>
      </c>
      <c r="N201" s="157">
        <v>70000000000</v>
      </c>
      <c r="O201" s="157">
        <v>210000000000000.03</v>
      </c>
      <c r="P201" s="156">
        <v>100000000000</v>
      </c>
      <c r="Q201" s="183">
        <v>10</v>
      </c>
      <c r="R201" s="188">
        <v>1000000</v>
      </c>
      <c r="S201" t="e">
        <v>#N/A</v>
      </c>
    </row>
    <row r="202" spans="1:19" ht="15" x14ac:dyDescent="0.25">
      <c r="A202" t="s">
        <v>181</v>
      </c>
      <c r="B202" s="156">
        <v>0.06</v>
      </c>
      <c r="C202" s="156">
        <v>0.8</v>
      </c>
      <c r="D202" s="156">
        <v>0.06</v>
      </c>
      <c r="E202" s="157">
        <v>4</v>
      </c>
      <c r="F202" s="157">
        <v>4.0000000000000002E-4</v>
      </c>
      <c r="G202" s="157">
        <v>1.2</v>
      </c>
      <c r="H202" s="158" t="s">
        <v>358</v>
      </c>
      <c r="I202" s="157">
        <v>0.06</v>
      </c>
      <c r="J202" s="181">
        <v>60000000000</v>
      </c>
      <c r="K202" s="159">
        <v>800000000000</v>
      </c>
      <c r="L202" s="159">
        <v>60000000000</v>
      </c>
      <c r="M202" s="157">
        <v>4000000000000</v>
      </c>
      <c r="N202" s="157">
        <v>400000000</v>
      </c>
      <c r="O202" s="157">
        <v>1200000000000</v>
      </c>
      <c r="P202" s="156">
        <v>60000000000</v>
      </c>
      <c r="Q202" s="183">
        <v>1</v>
      </c>
      <c r="R202" s="188">
        <v>1000</v>
      </c>
      <c r="S202" t="e">
        <v>#N/A</v>
      </c>
    </row>
    <row r="203" spans="1:19" ht="15" x14ac:dyDescent="0.25">
      <c r="A203" t="s">
        <v>182</v>
      </c>
      <c r="B203" s="156">
        <v>0.4</v>
      </c>
      <c r="C203" s="156">
        <v>0.4</v>
      </c>
      <c r="D203" s="156">
        <v>8</v>
      </c>
      <c r="E203" s="157">
        <v>5</v>
      </c>
      <c r="F203" s="157">
        <v>0.7</v>
      </c>
      <c r="G203" s="157">
        <v>2100</v>
      </c>
      <c r="H203" s="158" t="s">
        <v>358</v>
      </c>
      <c r="I203" s="157">
        <v>0.4</v>
      </c>
      <c r="J203" s="181">
        <v>400000000000</v>
      </c>
      <c r="K203" s="159">
        <v>400000000000</v>
      </c>
      <c r="L203" s="159">
        <v>8000000000000</v>
      </c>
      <c r="M203" s="157">
        <v>5000000000000</v>
      </c>
      <c r="N203" s="157">
        <v>700000000000</v>
      </c>
      <c r="O203" s="157">
        <v>2100000000000000</v>
      </c>
      <c r="P203" s="156">
        <v>400000000000</v>
      </c>
      <c r="Q203" s="183">
        <v>100</v>
      </c>
      <c r="R203" s="188">
        <v>10000000</v>
      </c>
      <c r="S203" t="e">
        <v>#N/A</v>
      </c>
    </row>
    <row r="204" spans="1:19" ht="15" x14ac:dyDescent="0.25">
      <c r="A204" t="s">
        <v>410</v>
      </c>
      <c r="B204" s="156">
        <v>0.09</v>
      </c>
      <c r="C204" s="156">
        <v>0.09</v>
      </c>
      <c r="D204" s="156">
        <v>800</v>
      </c>
      <c r="E204" s="157">
        <v>1</v>
      </c>
      <c r="F204" s="157">
        <v>1</v>
      </c>
      <c r="G204" s="157">
        <v>3000</v>
      </c>
      <c r="H204" s="158" t="s">
        <v>358</v>
      </c>
      <c r="I204" s="157">
        <v>0.09</v>
      </c>
      <c r="J204" s="181">
        <v>90000000000</v>
      </c>
      <c r="K204" s="159">
        <v>90000000000</v>
      </c>
      <c r="L204" s="159">
        <v>800000000000000</v>
      </c>
      <c r="M204" s="157">
        <v>1000000000000</v>
      </c>
      <c r="N204" s="157">
        <v>1000000000000</v>
      </c>
      <c r="O204" s="157">
        <v>3000000000000000</v>
      </c>
      <c r="P204" s="156">
        <v>90000000000</v>
      </c>
      <c r="Q204" s="183">
        <v>10</v>
      </c>
      <c r="R204" s="188">
        <v>1000000</v>
      </c>
      <c r="S204" t="e">
        <v>#N/A</v>
      </c>
    </row>
    <row r="205" spans="1:19" ht="15" x14ac:dyDescent="0.25">
      <c r="A205" t="s">
        <v>411</v>
      </c>
      <c r="B205" s="156">
        <v>0.2</v>
      </c>
      <c r="C205" s="156">
        <v>0.2</v>
      </c>
      <c r="D205" s="156">
        <v>60</v>
      </c>
      <c r="E205" s="157">
        <v>40</v>
      </c>
      <c r="F205" s="157">
        <v>20</v>
      </c>
      <c r="G205" s="157">
        <v>60000</v>
      </c>
      <c r="H205" s="158" t="s">
        <v>358</v>
      </c>
      <c r="I205" s="157">
        <v>0.2</v>
      </c>
      <c r="J205" s="181">
        <v>200000000000</v>
      </c>
      <c r="K205" s="159">
        <v>200000000000</v>
      </c>
      <c r="L205" s="159">
        <v>60000000000000</v>
      </c>
      <c r="M205" s="157">
        <v>40000000000000</v>
      </c>
      <c r="N205" s="157">
        <v>20000000000000</v>
      </c>
      <c r="O205" s="157">
        <v>6E+16</v>
      </c>
      <c r="P205" s="156">
        <v>200000000000</v>
      </c>
      <c r="Q205" s="183">
        <v>1000</v>
      </c>
      <c r="R205" s="188">
        <v>1000000</v>
      </c>
      <c r="S205" t="e">
        <v>#N/A</v>
      </c>
    </row>
    <row r="206" spans="1:19" ht="15" x14ac:dyDescent="0.25">
      <c r="A206" t="s">
        <v>169</v>
      </c>
      <c r="B206" s="156">
        <v>0.2</v>
      </c>
      <c r="C206" s="156">
        <v>0.2</v>
      </c>
      <c r="D206" s="156">
        <v>200</v>
      </c>
      <c r="E206" s="157">
        <v>4</v>
      </c>
      <c r="F206" s="157">
        <v>3</v>
      </c>
      <c r="G206" s="157">
        <v>9000</v>
      </c>
      <c r="H206" s="158" t="s">
        <v>358</v>
      </c>
      <c r="I206" s="157">
        <v>0.2</v>
      </c>
      <c r="J206" s="181">
        <v>200000000000</v>
      </c>
      <c r="K206" s="159">
        <v>200000000000</v>
      </c>
      <c r="L206" s="159">
        <v>200000000000000</v>
      </c>
      <c r="M206" s="157">
        <v>4000000000000</v>
      </c>
      <c r="N206" s="157">
        <v>3000000000000</v>
      </c>
      <c r="O206" s="157">
        <v>9000000000000000</v>
      </c>
      <c r="P206" s="156">
        <v>200000000000</v>
      </c>
      <c r="Q206" s="183">
        <v>100</v>
      </c>
      <c r="R206" s="188">
        <v>1000000</v>
      </c>
      <c r="S206" t="e">
        <v>#N/A</v>
      </c>
    </row>
    <row r="207" spans="1:19" ht="15" x14ac:dyDescent="0.25">
      <c r="A207" t="s">
        <v>412</v>
      </c>
      <c r="B207" s="156" t="s">
        <v>362</v>
      </c>
      <c r="C207" s="156" t="s">
        <v>362</v>
      </c>
      <c r="D207" s="156" t="s">
        <v>362</v>
      </c>
      <c r="E207" s="157" t="s">
        <v>362</v>
      </c>
      <c r="F207" s="157" t="s">
        <v>362</v>
      </c>
      <c r="G207" s="157" t="s">
        <v>362</v>
      </c>
      <c r="H207" s="161" t="s">
        <v>362</v>
      </c>
      <c r="I207" s="157" t="s">
        <v>362</v>
      </c>
      <c r="J207" s="181" t="s">
        <v>362</v>
      </c>
      <c r="K207" s="159" t="s">
        <v>362</v>
      </c>
      <c r="L207" s="159" t="s">
        <v>362</v>
      </c>
      <c r="M207" s="157" t="s">
        <v>362</v>
      </c>
      <c r="N207" s="157" t="s">
        <v>362</v>
      </c>
      <c r="O207" s="157" t="s">
        <v>362</v>
      </c>
      <c r="P207" s="164" t="s">
        <v>362</v>
      </c>
      <c r="Q207" s="183">
        <v>10000</v>
      </c>
      <c r="R207" s="188">
        <v>10000000</v>
      </c>
      <c r="S207" t="e">
        <v>#N/A</v>
      </c>
    </row>
    <row r="208" spans="1:19" ht="15" x14ac:dyDescent="0.25">
      <c r="A208" t="s">
        <v>239</v>
      </c>
      <c r="B208" s="156">
        <v>0.3</v>
      </c>
      <c r="C208" s="156">
        <v>40</v>
      </c>
      <c r="D208" s="156">
        <v>0.3</v>
      </c>
      <c r="E208" s="157">
        <v>1</v>
      </c>
      <c r="F208" s="157">
        <v>0.05</v>
      </c>
      <c r="G208" s="157">
        <v>150</v>
      </c>
      <c r="H208" s="158" t="s">
        <v>358</v>
      </c>
      <c r="I208" s="157">
        <v>0.3</v>
      </c>
      <c r="J208" s="181">
        <v>300000000000</v>
      </c>
      <c r="K208" s="159">
        <v>40000000000000</v>
      </c>
      <c r="L208" s="159">
        <v>300000000000</v>
      </c>
      <c r="M208" s="157">
        <v>1000000000000</v>
      </c>
      <c r="N208" s="157">
        <v>50000000000</v>
      </c>
      <c r="O208" s="157">
        <v>150000000000000</v>
      </c>
      <c r="P208" s="156">
        <v>300000000000</v>
      </c>
      <c r="Q208" s="183">
        <v>10</v>
      </c>
      <c r="R208" s="188">
        <v>10000</v>
      </c>
      <c r="S208">
        <v>22.3</v>
      </c>
    </row>
    <row r="209" spans="1:19" ht="15" x14ac:dyDescent="0.25">
      <c r="A209" t="s">
        <v>240</v>
      </c>
      <c r="B209" s="156">
        <v>0.05</v>
      </c>
      <c r="C209" s="156">
        <v>0.05</v>
      </c>
      <c r="D209" s="156">
        <v>9</v>
      </c>
      <c r="E209" s="157">
        <v>0.7</v>
      </c>
      <c r="F209" s="157">
        <v>0.2</v>
      </c>
      <c r="G209" s="157">
        <v>600</v>
      </c>
      <c r="H209" s="158" t="s">
        <v>358</v>
      </c>
      <c r="I209" s="157">
        <v>0.05</v>
      </c>
      <c r="J209" s="181">
        <v>50000000000</v>
      </c>
      <c r="K209" s="159">
        <v>50000000000</v>
      </c>
      <c r="L209" s="159">
        <v>9000000000000</v>
      </c>
      <c r="M209" s="157">
        <v>700000000000</v>
      </c>
      <c r="N209" s="157">
        <v>200000000000</v>
      </c>
      <c r="O209" s="157">
        <v>600000000000000</v>
      </c>
      <c r="P209" s="156">
        <v>50000000000</v>
      </c>
      <c r="Q209" s="183">
        <v>10</v>
      </c>
      <c r="R209" s="188">
        <v>100000</v>
      </c>
      <c r="S209" t="e">
        <v>#N/A</v>
      </c>
    </row>
    <row r="210" spans="1:19" ht="15" x14ac:dyDescent="0.25">
      <c r="A210" t="s">
        <v>476</v>
      </c>
      <c r="B210" s="156"/>
      <c r="C210" s="156"/>
      <c r="D210" s="156"/>
      <c r="E210" s="157"/>
      <c r="F210" s="157"/>
      <c r="G210" s="157"/>
      <c r="H210" s="158"/>
      <c r="I210" s="157"/>
      <c r="J210" s="181"/>
      <c r="K210" s="159"/>
      <c r="L210" s="159"/>
      <c r="M210" s="157"/>
      <c r="N210" s="157"/>
      <c r="O210" s="157"/>
      <c r="P210" s="156"/>
      <c r="Q210" s="183">
        <v>100</v>
      </c>
      <c r="R210" s="188">
        <v>1000000</v>
      </c>
      <c r="S210">
        <v>5.1400000000000003E-5</v>
      </c>
    </row>
    <row r="211" spans="1:19" ht="15" x14ac:dyDescent="0.25">
      <c r="A211" t="s">
        <v>89</v>
      </c>
      <c r="B211" s="156">
        <v>90</v>
      </c>
      <c r="C211" s="156">
        <v>90</v>
      </c>
      <c r="D211" s="156">
        <v>100</v>
      </c>
      <c r="E211" s="157">
        <v>40</v>
      </c>
      <c r="F211" s="157">
        <v>40</v>
      </c>
      <c r="G211" s="160">
        <v>900</v>
      </c>
      <c r="H211" s="158" t="s">
        <v>361</v>
      </c>
      <c r="I211" s="157">
        <v>90</v>
      </c>
      <c r="J211" s="181">
        <v>90000000000000</v>
      </c>
      <c r="K211" s="159">
        <v>90000000000000</v>
      </c>
      <c r="L211" s="159">
        <v>100000000000000</v>
      </c>
      <c r="M211" s="157">
        <v>40000000000000</v>
      </c>
      <c r="N211" s="157">
        <v>40000000000000</v>
      </c>
      <c r="O211" s="157">
        <v>900000000000000</v>
      </c>
      <c r="P211" s="156">
        <v>90000000000000</v>
      </c>
      <c r="Q211" s="183">
        <v>1000</v>
      </c>
      <c r="R211" s="188">
        <v>100000000</v>
      </c>
      <c r="S211" t="e">
        <v>#N/A</v>
      </c>
    </row>
    <row r="212" spans="1:19" ht="15" x14ac:dyDescent="0.25">
      <c r="A212" t="s">
        <v>413</v>
      </c>
      <c r="B212" s="156" t="s">
        <v>362</v>
      </c>
      <c r="C212" s="156" t="s">
        <v>362</v>
      </c>
      <c r="D212" s="156" t="s">
        <v>362</v>
      </c>
      <c r="E212" s="157" t="s">
        <v>362</v>
      </c>
      <c r="F212" s="157" t="s">
        <v>362</v>
      </c>
      <c r="G212" s="157" t="s">
        <v>362</v>
      </c>
      <c r="H212" s="161" t="s">
        <v>362</v>
      </c>
      <c r="I212" s="157" t="s">
        <v>362</v>
      </c>
      <c r="J212" s="181" t="s">
        <v>362</v>
      </c>
      <c r="K212" s="159" t="s">
        <v>362</v>
      </c>
      <c r="L212" s="159" t="s">
        <v>362</v>
      </c>
      <c r="M212" s="157" t="s">
        <v>362</v>
      </c>
      <c r="N212" s="157" t="s">
        <v>362</v>
      </c>
      <c r="O212" s="157" t="s">
        <v>362</v>
      </c>
      <c r="P212" s="164" t="s">
        <v>362</v>
      </c>
      <c r="Q212" s="183">
        <v>100000</v>
      </c>
      <c r="R212" s="188">
        <v>100000000</v>
      </c>
      <c r="S212" t="e">
        <v>#N/A</v>
      </c>
    </row>
    <row r="213" spans="1:19" ht="15" x14ac:dyDescent="0.25">
      <c r="A213" t="s">
        <v>90</v>
      </c>
      <c r="B213" s="156">
        <v>20</v>
      </c>
      <c r="C213" s="156">
        <v>20</v>
      </c>
      <c r="D213" s="156">
        <v>20</v>
      </c>
      <c r="E213" s="157">
        <v>2</v>
      </c>
      <c r="F213" s="157">
        <v>0.5</v>
      </c>
      <c r="G213" s="157">
        <v>1500</v>
      </c>
      <c r="H213" s="158" t="s">
        <v>358</v>
      </c>
      <c r="I213" s="157">
        <v>20</v>
      </c>
      <c r="J213" s="181">
        <v>20000000000000</v>
      </c>
      <c r="K213" s="159">
        <v>20000000000000</v>
      </c>
      <c r="L213" s="159">
        <v>20000000000000</v>
      </c>
      <c r="M213" s="157">
        <v>2000000000000</v>
      </c>
      <c r="N213" s="157">
        <v>500000000000</v>
      </c>
      <c r="O213" s="157">
        <v>1500000000000000</v>
      </c>
      <c r="P213" s="156">
        <v>20000000000000</v>
      </c>
      <c r="Q213" s="183">
        <v>1000</v>
      </c>
      <c r="R213" s="188">
        <v>1000000</v>
      </c>
      <c r="S213" t="e">
        <v>#N/A</v>
      </c>
    </row>
    <row r="214" spans="1:19" ht="15" x14ac:dyDescent="0.25">
      <c r="A214" t="s">
        <v>414</v>
      </c>
      <c r="B214" s="156">
        <v>0.2</v>
      </c>
      <c r="C214" s="156">
        <v>0.2</v>
      </c>
      <c r="D214" s="156">
        <v>200</v>
      </c>
      <c r="E214" s="157">
        <v>3</v>
      </c>
      <c r="F214" s="157">
        <v>3</v>
      </c>
      <c r="G214" s="157">
        <v>9000</v>
      </c>
      <c r="H214" s="158" t="s">
        <v>358</v>
      </c>
      <c r="I214" s="157">
        <v>0.2</v>
      </c>
      <c r="J214" s="181">
        <v>200000000000</v>
      </c>
      <c r="K214" s="159">
        <v>200000000000</v>
      </c>
      <c r="L214" s="159">
        <v>200000000000000</v>
      </c>
      <c r="M214" s="157">
        <v>3000000000000</v>
      </c>
      <c r="N214" s="157">
        <v>3000000000000</v>
      </c>
      <c r="O214" s="157">
        <v>9000000000000000</v>
      </c>
      <c r="P214" s="156">
        <v>200000000000</v>
      </c>
      <c r="Q214" s="183">
        <v>100</v>
      </c>
      <c r="R214" s="188">
        <v>1000000</v>
      </c>
      <c r="S214" t="e">
        <v>#N/A</v>
      </c>
    </row>
    <row r="215" spans="1:19" ht="15" x14ac:dyDescent="0.25">
      <c r="A215" t="s">
        <v>415</v>
      </c>
      <c r="B215" s="156">
        <v>0.04</v>
      </c>
      <c r="C215" s="156">
        <v>0.04</v>
      </c>
      <c r="D215" s="156">
        <v>30</v>
      </c>
      <c r="E215" s="157">
        <v>0.7</v>
      </c>
      <c r="F215" s="157">
        <v>0.7</v>
      </c>
      <c r="G215" s="157">
        <v>2100</v>
      </c>
      <c r="H215" s="158" t="s">
        <v>358</v>
      </c>
      <c r="I215" s="157">
        <v>0.04</v>
      </c>
      <c r="J215" s="181">
        <v>40000000000</v>
      </c>
      <c r="K215" s="159">
        <v>40000000000</v>
      </c>
      <c r="L215" s="159">
        <v>30000000000000</v>
      </c>
      <c r="M215" s="157">
        <v>700000000000</v>
      </c>
      <c r="N215" s="157">
        <v>700000000000</v>
      </c>
      <c r="O215" s="157">
        <v>2100000000000000</v>
      </c>
      <c r="P215" s="156">
        <v>40000000000</v>
      </c>
      <c r="Q215" s="183">
        <v>10</v>
      </c>
      <c r="R215" s="188">
        <v>1000000</v>
      </c>
      <c r="S215" t="e">
        <v>#N/A</v>
      </c>
    </row>
    <row r="216" spans="1:19" ht="15" x14ac:dyDescent="0.25">
      <c r="A216" t="s">
        <v>262</v>
      </c>
      <c r="B216" s="156">
        <v>10</v>
      </c>
      <c r="C216" s="156">
        <v>10</v>
      </c>
      <c r="D216" s="156">
        <v>400</v>
      </c>
      <c r="E216" s="157">
        <v>30</v>
      </c>
      <c r="F216" s="157">
        <v>10</v>
      </c>
      <c r="G216" s="157">
        <v>30000</v>
      </c>
      <c r="H216" s="158" t="s">
        <v>358</v>
      </c>
      <c r="I216" s="157">
        <v>10</v>
      </c>
      <c r="J216" s="181">
        <v>10000000000000</v>
      </c>
      <c r="K216" s="159">
        <v>10000000000000</v>
      </c>
      <c r="L216" s="159">
        <v>400000000000000</v>
      </c>
      <c r="M216" s="157">
        <v>30000000000000</v>
      </c>
      <c r="N216" s="157">
        <v>10000000000000</v>
      </c>
      <c r="O216" s="157">
        <v>3E+16</v>
      </c>
      <c r="P216" s="156">
        <v>10000000000000</v>
      </c>
      <c r="Q216" s="183">
        <v>1000</v>
      </c>
      <c r="R216" s="188">
        <v>10000000</v>
      </c>
      <c r="S216">
        <v>17.7</v>
      </c>
    </row>
    <row r="217" spans="1:19" ht="15" x14ac:dyDescent="0.25">
      <c r="A217" t="s">
        <v>129</v>
      </c>
      <c r="B217" s="156">
        <v>40</v>
      </c>
      <c r="C217" s="156">
        <v>8000</v>
      </c>
      <c r="D217" s="156">
        <v>40</v>
      </c>
      <c r="E217" s="157">
        <v>40</v>
      </c>
      <c r="F217" s="157">
        <v>2</v>
      </c>
      <c r="G217" s="160">
        <v>400</v>
      </c>
      <c r="H217" s="158" t="s">
        <v>361</v>
      </c>
      <c r="I217" s="163">
        <v>40</v>
      </c>
      <c r="J217" s="181">
        <v>40000000000000</v>
      </c>
      <c r="K217" s="159">
        <v>8000000000000000</v>
      </c>
      <c r="L217" s="159">
        <v>40000000000000</v>
      </c>
      <c r="M217" s="157">
        <v>40000000000000</v>
      </c>
      <c r="N217" s="157">
        <v>2000000000000</v>
      </c>
      <c r="O217" s="157">
        <v>400000000000000</v>
      </c>
      <c r="P217" s="156">
        <v>40000000000000</v>
      </c>
      <c r="Q217" s="183">
        <v>10000</v>
      </c>
      <c r="R217" s="188">
        <v>10000000</v>
      </c>
      <c r="S217">
        <v>2.62</v>
      </c>
    </row>
    <row r="218" spans="1:19" ht="15" x14ac:dyDescent="0.25">
      <c r="A218" t="s">
        <v>416</v>
      </c>
      <c r="B218" s="156">
        <v>0.03</v>
      </c>
      <c r="C218" s="156">
        <v>0.03</v>
      </c>
      <c r="D218" s="156">
        <v>30</v>
      </c>
      <c r="E218" s="157">
        <v>0.8</v>
      </c>
      <c r="F218" s="157">
        <v>0.7</v>
      </c>
      <c r="G218" s="157">
        <v>2100</v>
      </c>
      <c r="H218" s="158" t="s">
        <v>358</v>
      </c>
      <c r="I218" s="157">
        <v>0.03</v>
      </c>
      <c r="J218" s="181">
        <v>30000000000</v>
      </c>
      <c r="K218" s="159">
        <v>30000000000</v>
      </c>
      <c r="L218" s="159">
        <v>30000000000000</v>
      </c>
      <c r="M218" s="157">
        <v>800000000000</v>
      </c>
      <c r="N218" s="157">
        <v>700000000000</v>
      </c>
      <c r="O218" s="157">
        <v>2100000000000000</v>
      </c>
      <c r="P218" s="156">
        <v>30000000000</v>
      </c>
      <c r="Q218" s="183">
        <v>10</v>
      </c>
      <c r="R218" s="188">
        <v>1000000</v>
      </c>
      <c r="S218" t="e">
        <v>#N/A</v>
      </c>
    </row>
    <row r="219" spans="1:19" ht="15" x14ac:dyDescent="0.25">
      <c r="A219" t="s">
        <v>130</v>
      </c>
      <c r="B219" s="156">
        <v>6</v>
      </c>
      <c r="C219" s="156">
        <v>6</v>
      </c>
      <c r="D219" s="156">
        <v>20</v>
      </c>
      <c r="E219" s="157">
        <v>2</v>
      </c>
      <c r="F219" s="157">
        <v>0.6</v>
      </c>
      <c r="G219" s="157">
        <v>1800</v>
      </c>
      <c r="H219" s="158" t="s">
        <v>358</v>
      </c>
      <c r="I219" s="157">
        <v>6</v>
      </c>
      <c r="J219" s="181">
        <v>6000000000000</v>
      </c>
      <c r="K219" s="159">
        <v>6000000000000</v>
      </c>
      <c r="L219" s="159">
        <v>20000000000000</v>
      </c>
      <c r="M219" s="157">
        <v>2000000000000</v>
      </c>
      <c r="N219" s="157">
        <v>600000000000</v>
      </c>
      <c r="O219" s="157">
        <v>1800000000000000</v>
      </c>
      <c r="P219" s="156">
        <v>6000000000000</v>
      </c>
      <c r="Q219" s="183">
        <v>1000</v>
      </c>
      <c r="R219" s="188">
        <v>1000000</v>
      </c>
      <c r="S219" t="e">
        <v>#N/A</v>
      </c>
    </row>
    <row r="220" spans="1:19" ht="15" x14ac:dyDescent="0.25">
      <c r="A220" t="s">
        <v>417</v>
      </c>
      <c r="B220" s="156">
        <v>0.2</v>
      </c>
      <c r="C220" s="156">
        <v>0.2</v>
      </c>
      <c r="D220" s="156">
        <v>30</v>
      </c>
      <c r="E220" s="157">
        <v>2</v>
      </c>
      <c r="F220" s="157">
        <v>0.6</v>
      </c>
      <c r="G220" s="157">
        <v>1800</v>
      </c>
      <c r="H220" s="158" t="s">
        <v>358</v>
      </c>
      <c r="I220" s="157">
        <v>0.2</v>
      </c>
      <c r="J220" s="181">
        <v>200000000000</v>
      </c>
      <c r="K220" s="159">
        <v>200000000000</v>
      </c>
      <c r="L220" s="159">
        <v>30000000000000</v>
      </c>
      <c r="M220" s="157">
        <v>2000000000000</v>
      </c>
      <c r="N220" s="157">
        <v>600000000000</v>
      </c>
      <c r="O220" s="157">
        <v>1800000000000000</v>
      </c>
      <c r="P220" s="156">
        <v>200000000000</v>
      </c>
      <c r="Q220" s="183">
        <v>100</v>
      </c>
      <c r="R220" s="188">
        <v>1000000</v>
      </c>
      <c r="S220" t="e">
        <v>#N/A</v>
      </c>
    </row>
    <row r="221" spans="1:19" ht="15" x14ac:dyDescent="0.25">
      <c r="A221" t="s">
        <v>173</v>
      </c>
      <c r="B221" s="156">
        <v>0.06</v>
      </c>
      <c r="C221" s="156">
        <v>8000</v>
      </c>
      <c r="D221" s="156">
        <v>0.06</v>
      </c>
      <c r="E221" s="157">
        <v>40</v>
      </c>
      <c r="F221" s="157">
        <v>0.02</v>
      </c>
      <c r="G221" s="160">
        <v>0.6</v>
      </c>
      <c r="H221" s="158" t="s">
        <v>361</v>
      </c>
      <c r="I221" s="157">
        <v>0.06</v>
      </c>
      <c r="J221" s="181">
        <v>60000000000</v>
      </c>
      <c r="K221" s="159">
        <v>8000000000000000</v>
      </c>
      <c r="L221" s="159">
        <v>60000000000</v>
      </c>
      <c r="M221" s="157">
        <v>40000000000000</v>
      </c>
      <c r="N221" s="157">
        <v>20000000000</v>
      </c>
      <c r="O221" s="157">
        <v>600000000000</v>
      </c>
      <c r="P221" s="156">
        <v>60000000000</v>
      </c>
      <c r="Q221" s="183">
        <v>10</v>
      </c>
      <c r="R221" s="188">
        <v>10000</v>
      </c>
      <c r="S221">
        <v>0.37782340862422997</v>
      </c>
    </row>
    <row r="222" spans="1:19" ht="15" x14ac:dyDescent="0.25">
      <c r="A222" t="s">
        <v>125</v>
      </c>
      <c r="B222" s="156">
        <v>1</v>
      </c>
      <c r="C222" s="156">
        <v>1</v>
      </c>
      <c r="D222" s="156">
        <v>20</v>
      </c>
      <c r="E222" s="157">
        <v>0.4</v>
      </c>
      <c r="F222" s="157">
        <v>0.4</v>
      </c>
      <c r="G222" s="157">
        <v>1200</v>
      </c>
      <c r="H222" s="158" t="s">
        <v>358</v>
      </c>
      <c r="I222" s="157">
        <v>1</v>
      </c>
      <c r="J222" s="181">
        <v>1000000000000</v>
      </c>
      <c r="K222" s="159">
        <v>1000000000000</v>
      </c>
      <c r="L222" s="159">
        <v>20000000000000</v>
      </c>
      <c r="M222" s="157">
        <v>400000000000</v>
      </c>
      <c r="N222" s="157">
        <v>400000000000</v>
      </c>
      <c r="O222" s="157">
        <v>1200000000000000</v>
      </c>
      <c r="P222" s="156">
        <v>1000000000000</v>
      </c>
      <c r="Q222" s="183">
        <v>100</v>
      </c>
      <c r="R222" s="188">
        <v>100000</v>
      </c>
      <c r="S222" t="e">
        <v>#N/A</v>
      </c>
    </row>
    <row r="223" spans="1:19" ht="15" x14ac:dyDescent="0.25">
      <c r="A223" t="s">
        <v>126</v>
      </c>
      <c r="B223" s="156">
        <v>30</v>
      </c>
      <c r="C223" s="156">
        <v>80</v>
      </c>
      <c r="D223" s="156">
        <v>30</v>
      </c>
      <c r="E223" s="157">
        <v>3</v>
      </c>
      <c r="F223" s="157">
        <v>0.6</v>
      </c>
      <c r="G223" s="157">
        <v>1800</v>
      </c>
      <c r="H223" s="158" t="s">
        <v>358</v>
      </c>
      <c r="I223" s="157">
        <v>30</v>
      </c>
      <c r="J223" s="181">
        <v>30000000000000</v>
      </c>
      <c r="K223" s="159">
        <v>80000000000000</v>
      </c>
      <c r="L223" s="159">
        <v>30000000000000</v>
      </c>
      <c r="M223" s="157">
        <v>3000000000000</v>
      </c>
      <c r="N223" s="157">
        <v>600000000000</v>
      </c>
      <c r="O223" s="157">
        <v>1800000000000000</v>
      </c>
      <c r="P223" s="156">
        <v>30000000000000</v>
      </c>
      <c r="Q223" s="183">
        <v>10000</v>
      </c>
      <c r="R223" s="188">
        <v>1000000</v>
      </c>
      <c r="S223">
        <v>3.7139999999999999E-2</v>
      </c>
    </row>
    <row r="224" spans="1:19" ht="15" x14ac:dyDescent="0.25">
      <c r="A224" t="s">
        <v>418</v>
      </c>
      <c r="B224" s="156">
        <v>0.04</v>
      </c>
      <c r="C224" s="156">
        <v>0.04</v>
      </c>
      <c r="D224" s="156">
        <v>90</v>
      </c>
      <c r="E224" s="157">
        <v>1</v>
      </c>
      <c r="F224" s="157">
        <v>0.8</v>
      </c>
      <c r="G224" s="157">
        <v>2400</v>
      </c>
      <c r="H224" s="158" t="s">
        <v>358</v>
      </c>
      <c r="I224" s="157">
        <v>0.04</v>
      </c>
      <c r="J224" s="181">
        <v>40000000000</v>
      </c>
      <c r="K224" s="159">
        <v>40000000000</v>
      </c>
      <c r="L224" s="159">
        <v>90000000000000</v>
      </c>
      <c r="M224" s="157">
        <v>1000000000000</v>
      </c>
      <c r="N224" s="157">
        <v>800000000000</v>
      </c>
      <c r="O224" s="157">
        <v>2400000000000000</v>
      </c>
      <c r="P224" s="156">
        <v>40000000000</v>
      </c>
      <c r="Q224" s="183">
        <v>10</v>
      </c>
      <c r="R224" s="188">
        <v>1000000</v>
      </c>
      <c r="S224" t="e">
        <v>#N/A</v>
      </c>
    </row>
    <row r="225" spans="1:19" ht="15" x14ac:dyDescent="0.25">
      <c r="A225" t="s">
        <v>160</v>
      </c>
      <c r="B225" s="156">
        <v>0.3</v>
      </c>
      <c r="C225" s="156">
        <v>0.3</v>
      </c>
      <c r="D225" s="156">
        <v>300</v>
      </c>
      <c r="E225" s="157">
        <v>4</v>
      </c>
      <c r="F225" s="157">
        <v>3</v>
      </c>
      <c r="G225" s="157">
        <v>9000</v>
      </c>
      <c r="H225" s="158" t="s">
        <v>358</v>
      </c>
      <c r="I225" s="157">
        <v>0.3</v>
      </c>
      <c r="J225" s="181">
        <v>300000000000</v>
      </c>
      <c r="K225" s="159">
        <v>300000000000</v>
      </c>
      <c r="L225" s="159">
        <v>300000000000000</v>
      </c>
      <c r="M225" s="157">
        <v>4000000000000</v>
      </c>
      <c r="N225" s="157">
        <v>3000000000000</v>
      </c>
      <c r="O225" s="157">
        <v>9000000000000000</v>
      </c>
      <c r="P225" s="156">
        <v>300000000000</v>
      </c>
      <c r="Q225" s="183">
        <v>100</v>
      </c>
      <c r="R225" s="188">
        <v>1000000</v>
      </c>
      <c r="S225" t="e">
        <v>#N/A</v>
      </c>
    </row>
    <row r="226" spans="1:19" ht="15" x14ac:dyDescent="0.25">
      <c r="A226" t="s">
        <v>419</v>
      </c>
      <c r="B226" s="156">
        <v>3000</v>
      </c>
      <c r="C226" s="156">
        <v>100000</v>
      </c>
      <c r="D226" s="156">
        <v>3000</v>
      </c>
      <c r="E226" s="157">
        <v>40</v>
      </c>
      <c r="F226" s="157">
        <v>40</v>
      </c>
      <c r="G226" s="157">
        <v>120000</v>
      </c>
      <c r="H226" s="158" t="s">
        <v>358</v>
      </c>
      <c r="I226" s="157">
        <v>3000</v>
      </c>
      <c r="J226" s="181">
        <v>3000000000000000</v>
      </c>
      <c r="K226" s="159">
        <v>1E+17</v>
      </c>
      <c r="L226" s="159">
        <v>3000000000000000</v>
      </c>
      <c r="M226" s="157">
        <v>40000000000000</v>
      </c>
      <c r="N226" s="157">
        <v>40000000000000</v>
      </c>
      <c r="O226" s="157">
        <v>1.2E+17</v>
      </c>
      <c r="P226" s="156">
        <v>3000000000000000</v>
      </c>
      <c r="Q226" s="183">
        <v>10000</v>
      </c>
      <c r="R226" s="188">
        <v>10000000</v>
      </c>
      <c r="S226" t="e">
        <v>#N/A</v>
      </c>
    </row>
    <row r="227" spans="1:19" ht="15" x14ac:dyDescent="0.25">
      <c r="A227" t="s">
        <v>161</v>
      </c>
      <c r="B227" s="156">
        <v>10</v>
      </c>
      <c r="C227" s="156">
        <v>10</v>
      </c>
      <c r="D227" s="156">
        <v>400</v>
      </c>
      <c r="E227" s="157">
        <v>40</v>
      </c>
      <c r="F227" s="157">
        <v>0.5</v>
      </c>
      <c r="G227" s="157">
        <v>1500</v>
      </c>
      <c r="H227" s="158" t="s">
        <v>358</v>
      </c>
      <c r="I227" s="157">
        <v>10</v>
      </c>
      <c r="J227" s="181">
        <v>10000000000000</v>
      </c>
      <c r="K227" s="159">
        <v>10000000000000</v>
      </c>
      <c r="L227" s="159">
        <v>400000000000000</v>
      </c>
      <c r="M227" s="157">
        <v>40000000000000</v>
      </c>
      <c r="N227" s="157">
        <v>500000000000</v>
      </c>
      <c r="O227" s="157">
        <v>1500000000000000</v>
      </c>
      <c r="P227" s="156">
        <v>10000000000000</v>
      </c>
      <c r="Q227" s="183">
        <v>1000</v>
      </c>
      <c r="R227" s="188">
        <v>10000000</v>
      </c>
      <c r="S227" t="e">
        <v>#N/A</v>
      </c>
    </row>
    <row r="228" spans="1:19" ht="15" x14ac:dyDescent="0.25">
      <c r="A228" t="s">
        <v>420</v>
      </c>
      <c r="B228" s="156">
        <v>2</v>
      </c>
      <c r="C228" s="156">
        <v>2</v>
      </c>
      <c r="D228" s="156">
        <v>300</v>
      </c>
      <c r="E228" s="157">
        <v>10</v>
      </c>
      <c r="F228" s="157">
        <v>0.5</v>
      </c>
      <c r="G228" s="157">
        <v>1500</v>
      </c>
      <c r="H228" s="158" t="s">
        <v>358</v>
      </c>
      <c r="I228" s="157">
        <v>2</v>
      </c>
      <c r="J228" s="181">
        <v>2000000000000</v>
      </c>
      <c r="K228" s="159">
        <v>2000000000000</v>
      </c>
      <c r="L228" s="159">
        <v>300000000000000</v>
      </c>
      <c r="M228" s="157">
        <v>10000000000000</v>
      </c>
      <c r="N228" s="157">
        <v>500000000000</v>
      </c>
      <c r="O228" s="157">
        <v>1500000000000000</v>
      </c>
      <c r="P228" s="156">
        <v>2000000000000</v>
      </c>
      <c r="Q228" s="183">
        <v>100</v>
      </c>
      <c r="R228" s="188">
        <v>1000000</v>
      </c>
      <c r="S228" t="e">
        <v>#N/A</v>
      </c>
    </row>
    <row r="229" spans="1:19" ht="15" x14ac:dyDescent="0.25">
      <c r="A229" t="s">
        <v>162</v>
      </c>
      <c r="B229" s="156">
        <v>4</v>
      </c>
      <c r="C229" s="156">
        <v>4</v>
      </c>
      <c r="D229" s="156">
        <v>50</v>
      </c>
      <c r="E229" s="157">
        <v>20</v>
      </c>
      <c r="F229" s="157">
        <v>0.6</v>
      </c>
      <c r="G229" s="157">
        <v>1800</v>
      </c>
      <c r="H229" s="158" t="s">
        <v>358</v>
      </c>
      <c r="I229" s="157">
        <v>4</v>
      </c>
      <c r="J229" s="181">
        <v>4000000000000</v>
      </c>
      <c r="K229" s="159">
        <v>4000000000000</v>
      </c>
      <c r="L229" s="159">
        <v>50000000000000</v>
      </c>
      <c r="M229" s="157">
        <v>20000000000000</v>
      </c>
      <c r="N229" s="157">
        <v>600000000000</v>
      </c>
      <c r="O229" s="157">
        <v>1800000000000000</v>
      </c>
      <c r="P229" s="156">
        <v>4000000000000</v>
      </c>
      <c r="Q229" s="183">
        <v>1000</v>
      </c>
      <c r="R229" s="188">
        <v>1000000</v>
      </c>
      <c r="S229" t="e">
        <v>#N/A</v>
      </c>
    </row>
    <row r="230" spans="1:19" ht="15" x14ac:dyDescent="0.25">
      <c r="A230" t="s">
        <v>163</v>
      </c>
      <c r="B230" s="156">
        <v>0.9</v>
      </c>
      <c r="C230" s="156">
        <v>0.9</v>
      </c>
      <c r="D230" s="156">
        <v>20</v>
      </c>
      <c r="E230" s="157">
        <v>10</v>
      </c>
      <c r="F230" s="157">
        <v>0.6</v>
      </c>
      <c r="G230" s="157">
        <v>1800</v>
      </c>
      <c r="H230" s="158" t="s">
        <v>358</v>
      </c>
      <c r="I230" s="157">
        <v>0.9</v>
      </c>
      <c r="J230" s="181">
        <v>900000000000</v>
      </c>
      <c r="K230" s="159">
        <v>900000000000</v>
      </c>
      <c r="L230" s="159">
        <v>20000000000000</v>
      </c>
      <c r="M230" s="157">
        <v>10000000000000</v>
      </c>
      <c r="N230" s="157">
        <v>600000000000</v>
      </c>
      <c r="O230" s="157">
        <v>1800000000000000</v>
      </c>
      <c r="P230" s="156">
        <v>900000000000</v>
      </c>
      <c r="Q230" s="183">
        <v>100</v>
      </c>
      <c r="R230" s="188">
        <v>1000000</v>
      </c>
      <c r="S230" t="e">
        <v>#N/A</v>
      </c>
    </row>
    <row r="231" spans="1:19" ht="15" x14ac:dyDescent="0.25">
      <c r="A231" t="s">
        <v>188</v>
      </c>
      <c r="B231" s="156">
        <v>0.1</v>
      </c>
      <c r="C231" s="156">
        <v>1</v>
      </c>
      <c r="D231" s="156">
        <v>0.1</v>
      </c>
      <c r="E231" s="157">
        <v>30</v>
      </c>
      <c r="F231" s="157">
        <v>3.0000000000000001E-3</v>
      </c>
      <c r="G231" s="157">
        <v>9</v>
      </c>
      <c r="H231" s="158" t="s">
        <v>358</v>
      </c>
      <c r="I231" s="157">
        <v>0.1</v>
      </c>
      <c r="J231" s="181">
        <v>100000000000</v>
      </c>
      <c r="K231" s="159">
        <v>1000000000000</v>
      </c>
      <c r="L231" s="159">
        <v>100000000000</v>
      </c>
      <c r="M231" s="157">
        <v>30000000000000</v>
      </c>
      <c r="N231" s="157">
        <v>3000000000</v>
      </c>
      <c r="O231" s="157">
        <v>9000000000000</v>
      </c>
      <c r="P231" s="156">
        <v>100000000000</v>
      </c>
      <c r="Q231" s="183">
        <v>10</v>
      </c>
      <c r="R231" s="188">
        <v>10000</v>
      </c>
      <c r="S231" t="e">
        <v>#N/A</v>
      </c>
    </row>
    <row r="232" spans="1:19" ht="15" x14ac:dyDescent="0.25">
      <c r="A232" t="s">
        <v>189</v>
      </c>
      <c r="B232" s="156">
        <v>2</v>
      </c>
      <c r="C232" s="156">
        <v>2</v>
      </c>
      <c r="D232" s="156">
        <v>60</v>
      </c>
      <c r="E232" s="157">
        <v>20</v>
      </c>
      <c r="F232" s="157">
        <v>20</v>
      </c>
      <c r="G232" s="157">
        <v>60000</v>
      </c>
      <c r="H232" s="158" t="s">
        <v>358</v>
      </c>
      <c r="I232" s="157">
        <v>2</v>
      </c>
      <c r="J232" s="181">
        <v>2000000000000</v>
      </c>
      <c r="K232" s="159">
        <v>2000000000000</v>
      </c>
      <c r="L232" s="159">
        <v>60000000000000</v>
      </c>
      <c r="M232" s="157">
        <v>20000000000000</v>
      </c>
      <c r="N232" s="157">
        <v>20000000000000</v>
      </c>
      <c r="O232" s="157">
        <v>6E+16</v>
      </c>
      <c r="P232" s="156">
        <v>2000000000000</v>
      </c>
      <c r="Q232" s="183">
        <v>1000</v>
      </c>
      <c r="R232" s="188">
        <v>10000000</v>
      </c>
      <c r="S232" t="e">
        <v>#N/A</v>
      </c>
    </row>
    <row r="233" spans="1:19" ht="15" x14ac:dyDescent="0.25">
      <c r="A233" t="s">
        <v>190</v>
      </c>
      <c r="B233" s="156">
        <v>0.06</v>
      </c>
      <c r="C233" s="156">
        <v>300</v>
      </c>
      <c r="D233" s="156">
        <v>0.06</v>
      </c>
      <c r="E233" s="157">
        <v>10</v>
      </c>
      <c r="F233" s="157">
        <v>1E-3</v>
      </c>
      <c r="G233" s="160">
        <v>0.6</v>
      </c>
      <c r="H233" s="158" t="s">
        <v>361</v>
      </c>
      <c r="I233" s="163">
        <v>0.06</v>
      </c>
      <c r="J233" s="181">
        <v>60000000000</v>
      </c>
      <c r="K233" s="159">
        <v>300000000000000</v>
      </c>
      <c r="L233" s="159">
        <v>60000000000</v>
      </c>
      <c r="M233" s="157">
        <v>10000000000000</v>
      </c>
      <c r="N233" s="157">
        <v>1000000000</v>
      </c>
      <c r="O233" s="157">
        <v>600000000000</v>
      </c>
      <c r="P233" s="156">
        <v>60000000000</v>
      </c>
      <c r="Q233" s="183">
        <v>1</v>
      </c>
      <c r="R233" s="188">
        <v>10000</v>
      </c>
      <c r="S233">
        <v>87.7</v>
      </c>
    </row>
    <row r="234" spans="1:19" ht="15" x14ac:dyDescent="0.25">
      <c r="A234" t="s">
        <v>191</v>
      </c>
      <c r="B234" s="156">
        <v>0.06</v>
      </c>
      <c r="C234" s="156">
        <v>1</v>
      </c>
      <c r="D234" s="156">
        <v>0.06</v>
      </c>
      <c r="E234" s="157">
        <v>10</v>
      </c>
      <c r="F234" s="157">
        <v>1E-3</v>
      </c>
      <c r="G234" s="160">
        <v>0.6</v>
      </c>
      <c r="H234" s="158" t="s">
        <v>361</v>
      </c>
      <c r="I234" s="157">
        <v>0.06</v>
      </c>
      <c r="J234" s="181">
        <v>60000000000</v>
      </c>
      <c r="K234" s="159">
        <v>1000000000000</v>
      </c>
      <c r="L234" s="159">
        <v>60000000000</v>
      </c>
      <c r="M234" s="157">
        <v>10000000000000</v>
      </c>
      <c r="N234" s="157">
        <v>1000000000</v>
      </c>
      <c r="O234" s="157">
        <v>600000000000</v>
      </c>
      <c r="P234" s="156">
        <v>60000000000</v>
      </c>
      <c r="Q234" s="183">
        <v>1</v>
      </c>
      <c r="R234" s="188">
        <v>10000</v>
      </c>
      <c r="S234">
        <v>24100</v>
      </c>
    </row>
    <row r="235" spans="1:19" ht="15" x14ac:dyDescent="0.25">
      <c r="A235" t="s">
        <v>192</v>
      </c>
      <c r="B235" s="156">
        <v>0.06</v>
      </c>
      <c r="C235" s="156">
        <v>4</v>
      </c>
      <c r="D235" s="156">
        <v>0.06</v>
      </c>
      <c r="E235" s="157">
        <v>10</v>
      </c>
      <c r="F235" s="157">
        <v>1E-3</v>
      </c>
      <c r="G235" s="157">
        <v>3</v>
      </c>
      <c r="H235" s="158" t="s">
        <v>358</v>
      </c>
      <c r="I235" s="157">
        <v>0.06</v>
      </c>
      <c r="J235" s="181">
        <v>60000000000</v>
      </c>
      <c r="K235" s="159">
        <v>4000000000000</v>
      </c>
      <c r="L235" s="159">
        <v>60000000000</v>
      </c>
      <c r="M235" s="157">
        <v>10000000000000</v>
      </c>
      <c r="N235" s="157">
        <v>1000000000</v>
      </c>
      <c r="O235" s="157">
        <v>3000000000000</v>
      </c>
      <c r="P235" s="156">
        <v>60000000000</v>
      </c>
      <c r="Q235" s="183">
        <v>1</v>
      </c>
      <c r="R235" s="188">
        <v>1000</v>
      </c>
      <c r="S235">
        <v>6561</v>
      </c>
    </row>
    <row r="236" spans="1:19" ht="15" x14ac:dyDescent="0.25">
      <c r="A236" t="s">
        <v>193</v>
      </c>
      <c r="B236" s="156">
        <v>3</v>
      </c>
      <c r="C236" s="156">
        <v>2000</v>
      </c>
      <c r="D236" s="156">
        <v>3</v>
      </c>
      <c r="E236" s="157">
        <v>40</v>
      </c>
      <c r="F236" s="157">
        <v>0.06</v>
      </c>
      <c r="G236" s="157">
        <v>180</v>
      </c>
      <c r="H236" s="158" t="s">
        <v>358</v>
      </c>
      <c r="I236" s="157">
        <v>3</v>
      </c>
      <c r="J236" s="181">
        <v>3000000000000</v>
      </c>
      <c r="K236" s="159">
        <v>2000000000000000</v>
      </c>
      <c r="L236" s="159">
        <v>3000000000000</v>
      </c>
      <c r="M236" s="157">
        <v>40000000000000</v>
      </c>
      <c r="N236" s="157">
        <v>60000000000</v>
      </c>
      <c r="O236" s="157">
        <v>180000000000000</v>
      </c>
      <c r="P236" s="156">
        <v>3000000000000</v>
      </c>
      <c r="Q236" s="183">
        <v>100</v>
      </c>
      <c r="R236" s="188">
        <v>100000</v>
      </c>
      <c r="S236" t="e">
        <v>#N/A</v>
      </c>
    </row>
    <row r="237" spans="1:19" ht="15" x14ac:dyDescent="0.25">
      <c r="A237" t="s">
        <v>194</v>
      </c>
      <c r="B237" s="156">
        <v>7.0000000000000007E-2</v>
      </c>
      <c r="C237" s="156">
        <v>7.0000000000000007E-2</v>
      </c>
      <c r="D237" s="156">
        <v>7.0000000000000007E-2</v>
      </c>
      <c r="E237" s="157">
        <v>10</v>
      </c>
      <c r="F237" s="157">
        <v>1E-3</v>
      </c>
      <c r="G237" s="157">
        <v>3</v>
      </c>
      <c r="H237" s="158" t="s">
        <v>358</v>
      </c>
      <c r="I237" s="157">
        <v>7.0000000000000007E-2</v>
      </c>
      <c r="J237" s="181">
        <v>70000000000</v>
      </c>
      <c r="K237" s="159">
        <v>70000000000</v>
      </c>
      <c r="L237" s="159">
        <v>70000000000</v>
      </c>
      <c r="M237" s="157">
        <v>10000000000000</v>
      </c>
      <c r="N237" s="157">
        <v>1000000000</v>
      </c>
      <c r="O237" s="157">
        <v>3000000000000</v>
      </c>
      <c r="P237" s="156">
        <v>70000000000</v>
      </c>
      <c r="Q237" s="183">
        <v>1</v>
      </c>
      <c r="R237" s="188">
        <v>10000</v>
      </c>
      <c r="S237" t="e">
        <v>#N/A</v>
      </c>
    </row>
    <row r="238" spans="1:19" ht="15" x14ac:dyDescent="0.25">
      <c r="A238" t="s">
        <v>195</v>
      </c>
      <c r="B238" s="156">
        <v>2.9999999999999997E-4</v>
      </c>
      <c r="C238" s="156">
        <v>2.9999999999999997E-4</v>
      </c>
      <c r="D238" s="156">
        <v>2.9999999999999997E-4</v>
      </c>
      <c r="E238" s="157">
        <v>0.4</v>
      </c>
      <c r="F238" s="157">
        <v>1E-3</v>
      </c>
      <c r="G238" s="157">
        <v>3</v>
      </c>
      <c r="H238" s="158" t="s">
        <v>358</v>
      </c>
      <c r="I238" s="157">
        <v>2.9999999999999997E-4</v>
      </c>
      <c r="J238" s="181">
        <v>300000000</v>
      </c>
      <c r="K238" s="159">
        <v>300000000</v>
      </c>
      <c r="L238" s="159">
        <v>300000000</v>
      </c>
      <c r="M238" s="157">
        <v>400000000000</v>
      </c>
      <c r="N238" s="157">
        <v>1000000000</v>
      </c>
      <c r="O238" s="157">
        <v>3000000000000</v>
      </c>
      <c r="P238" s="156">
        <v>300000000</v>
      </c>
      <c r="Q238" s="183">
        <v>1</v>
      </c>
      <c r="R238" s="188">
        <v>10000</v>
      </c>
      <c r="S238" t="e">
        <v>#N/A</v>
      </c>
    </row>
    <row r="239" spans="1:19" ht="15" x14ac:dyDescent="0.25">
      <c r="A239" t="s">
        <v>421</v>
      </c>
      <c r="B239" s="156">
        <v>0.06</v>
      </c>
      <c r="C239" s="156">
        <v>0.06</v>
      </c>
      <c r="D239" s="156">
        <v>0.06</v>
      </c>
      <c r="E239" s="157">
        <v>0.4</v>
      </c>
      <c r="F239" s="157">
        <v>1E-3</v>
      </c>
      <c r="G239" s="157">
        <v>3</v>
      </c>
      <c r="H239" s="158" t="s">
        <v>358</v>
      </c>
      <c r="I239" s="163">
        <v>0.06</v>
      </c>
      <c r="J239" s="181">
        <v>60000000000</v>
      </c>
      <c r="K239" s="159">
        <v>60000000000</v>
      </c>
      <c r="L239" s="159">
        <v>60000000000</v>
      </c>
      <c r="M239" s="157">
        <v>400000000000</v>
      </c>
      <c r="N239" s="157">
        <v>1000000000</v>
      </c>
      <c r="O239" s="157">
        <v>3000000000000</v>
      </c>
      <c r="P239" s="156">
        <v>60000000000</v>
      </c>
      <c r="Q239" s="183">
        <v>1</v>
      </c>
      <c r="R239" s="188">
        <v>10000</v>
      </c>
      <c r="S239">
        <v>24000</v>
      </c>
    </row>
    <row r="240" spans="1:19" ht="15" x14ac:dyDescent="0.25">
      <c r="A240" t="s">
        <v>243</v>
      </c>
      <c r="B240" s="156">
        <v>0.1</v>
      </c>
      <c r="C240" s="156">
        <v>0.2</v>
      </c>
      <c r="D240" s="156">
        <v>0.1</v>
      </c>
      <c r="E240" s="157">
        <v>0.4</v>
      </c>
      <c r="F240" s="157">
        <v>7.0000000000000001E-3</v>
      </c>
      <c r="G240" s="157">
        <v>21</v>
      </c>
      <c r="H240" s="158" t="s">
        <v>358</v>
      </c>
      <c r="I240" s="157">
        <v>0.1</v>
      </c>
      <c r="J240" s="181">
        <v>100000000000</v>
      </c>
      <c r="K240" s="159">
        <v>200000000000</v>
      </c>
      <c r="L240" s="159">
        <v>100000000000</v>
      </c>
      <c r="M240" s="157">
        <v>400000000000</v>
      </c>
      <c r="N240" s="157">
        <v>7000000000</v>
      </c>
      <c r="O240" s="157">
        <v>21000000000000</v>
      </c>
      <c r="P240" s="156">
        <v>100000000000</v>
      </c>
      <c r="Q240" s="183">
        <v>100</v>
      </c>
      <c r="R240" s="188">
        <v>100000</v>
      </c>
      <c r="S240">
        <v>3.1293634496919902E-2</v>
      </c>
    </row>
    <row r="241" spans="1:19" ht="15" x14ac:dyDescent="0.25">
      <c r="A241" t="s">
        <v>244</v>
      </c>
      <c r="B241" s="156">
        <v>0.05</v>
      </c>
      <c r="C241" s="156">
        <v>0.05</v>
      </c>
      <c r="D241" s="156">
        <v>0.3</v>
      </c>
      <c r="E241" s="157">
        <v>0.4</v>
      </c>
      <c r="F241" s="157">
        <v>0.02</v>
      </c>
      <c r="G241" s="157">
        <v>60</v>
      </c>
      <c r="H241" s="158" t="s">
        <v>358</v>
      </c>
      <c r="I241" s="157">
        <v>0.05</v>
      </c>
      <c r="J241" s="181">
        <v>50000000000</v>
      </c>
      <c r="K241" s="159">
        <v>50000000000</v>
      </c>
      <c r="L241" s="159">
        <v>300000000000</v>
      </c>
      <c r="M241" s="157">
        <v>400000000000</v>
      </c>
      <c r="N241" s="157">
        <v>20000000000</v>
      </c>
      <c r="O241" s="157">
        <v>60000000000000</v>
      </c>
      <c r="P241" s="156">
        <v>50000000000</v>
      </c>
      <c r="Q241" s="183">
        <v>10</v>
      </c>
      <c r="R241" s="188">
        <v>100000</v>
      </c>
      <c r="S241">
        <v>1.0020533880903499E-2</v>
      </c>
    </row>
    <row r="242" spans="1:19" ht="15" x14ac:dyDescent="0.25">
      <c r="A242" t="s">
        <v>175</v>
      </c>
      <c r="B242" s="156">
        <v>0.1</v>
      </c>
      <c r="C242" s="156">
        <v>0.3</v>
      </c>
      <c r="D242" s="156">
        <v>0.1</v>
      </c>
      <c r="E242" s="157">
        <v>0.2</v>
      </c>
      <c r="F242" s="157">
        <v>4.0000000000000001E-3</v>
      </c>
      <c r="G242" s="157">
        <v>12</v>
      </c>
      <c r="H242" s="158" t="s">
        <v>358</v>
      </c>
      <c r="I242" s="157">
        <v>0.1</v>
      </c>
      <c r="J242" s="181">
        <v>100000000000</v>
      </c>
      <c r="K242" s="159">
        <v>300000000000</v>
      </c>
      <c r="L242" s="159">
        <v>100000000000</v>
      </c>
      <c r="M242" s="157">
        <v>200000000000</v>
      </c>
      <c r="N242" s="157">
        <v>4000000000</v>
      </c>
      <c r="O242" s="157">
        <v>12000000000000</v>
      </c>
      <c r="P242" s="156">
        <v>100000000000</v>
      </c>
      <c r="Q242" s="183">
        <v>100</v>
      </c>
      <c r="R242" s="188">
        <v>100000</v>
      </c>
      <c r="S242" t="e">
        <v>#N/A</v>
      </c>
    </row>
    <row r="243" spans="1:19" ht="15" x14ac:dyDescent="0.25">
      <c r="A243" t="s">
        <v>245</v>
      </c>
      <c r="B243" s="156">
        <v>0.04</v>
      </c>
      <c r="C243" s="156">
        <v>0.04</v>
      </c>
      <c r="D243" s="156">
        <v>7.0000000000000007E-2</v>
      </c>
      <c r="E243" s="157">
        <v>0.2</v>
      </c>
      <c r="F243" s="157">
        <v>3.0000000000000001E-3</v>
      </c>
      <c r="G243" s="160">
        <v>0.4</v>
      </c>
      <c r="H243" s="158" t="s">
        <v>361</v>
      </c>
      <c r="I243" s="163">
        <v>0.04</v>
      </c>
      <c r="J243" s="181">
        <v>40000000000</v>
      </c>
      <c r="K243" s="159">
        <v>40000000000</v>
      </c>
      <c r="L243" s="159">
        <v>70000000000</v>
      </c>
      <c r="M243" s="157">
        <v>200000000000</v>
      </c>
      <c r="N243" s="157">
        <v>3000000000</v>
      </c>
      <c r="O243" s="157">
        <v>400000000000</v>
      </c>
      <c r="P243" s="156">
        <v>40000000000</v>
      </c>
      <c r="Q243" s="183">
        <v>10</v>
      </c>
      <c r="R243" s="188">
        <v>10000</v>
      </c>
      <c r="S243">
        <v>1600</v>
      </c>
    </row>
    <row r="244" spans="1:19" ht="15" x14ac:dyDescent="0.25">
      <c r="A244" t="s">
        <v>246</v>
      </c>
      <c r="B244" s="156">
        <v>0.03</v>
      </c>
      <c r="C244" s="156">
        <v>0.03</v>
      </c>
      <c r="D244" s="156">
        <v>0.04</v>
      </c>
      <c r="E244" s="157">
        <v>0.6</v>
      </c>
      <c r="F244" s="157">
        <v>0.02</v>
      </c>
      <c r="G244" s="157">
        <v>60</v>
      </c>
      <c r="H244" s="158" t="s">
        <v>358</v>
      </c>
      <c r="I244" s="157">
        <v>0.03</v>
      </c>
      <c r="J244" s="181">
        <v>30000000000</v>
      </c>
      <c r="K244" s="159">
        <v>30000000000</v>
      </c>
      <c r="L244" s="159">
        <v>40000000000</v>
      </c>
      <c r="M244" s="157">
        <v>600000000000</v>
      </c>
      <c r="N244" s="157">
        <v>20000000000</v>
      </c>
      <c r="O244" s="157">
        <v>60000000000000</v>
      </c>
      <c r="P244" s="156">
        <v>30000000000</v>
      </c>
      <c r="Q244" s="183">
        <v>10</v>
      </c>
      <c r="R244" s="188">
        <v>100000</v>
      </c>
      <c r="S244">
        <v>5.74</v>
      </c>
    </row>
    <row r="245" spans="1:19" ht="15" x14ac:dyDescent="0.25">
      <c r="A245" t="s">
        <v>422</v>
      </c>
      <c r="B245" s="156">
        <v>0.1</v>
      </c>
      <c r="C245" s="156">
        <v>0.1</v>
      </c>
      <c r="D245" s="156">
        <v>2000</v>
      </c>
      <c r="E245" s="157">
        <v>2</v>
      </c>
      <c r="F245" s="157">
        <v>0.8</v>
      </c>
      <c r="G245" s="157">
        <v>2400</v>
      </c>
      <c r="H245" s="158" t="s">
        <v>358</v>
      </c>
      <c r="I245" s="157">
        <v>0.1</v>
      </c>
      <c r="J245" s="181">
        <v>100000000000</v>
      </c>
      <c r="K245" s="159">
        <v>100000000000</v>
      </c>
      <c r="L245" s="159">
        <v>2000000000000000</v>
      </c>
      <c r="M245" s="157">
        <v>2000000000000</v>
      </c>
      <c r="N245" s="157">
        <v>800000000000</v>
      </c>
      <c r="O245" s="157">
        <v>2400000000000000</v>
      </c>
      <c r="P245" s="156">
        <v>100000000000</v>
      </c>
      <c r="Q245" s="183">
        <v>10</v>
      </c>
      <c r="R245" s="188">
        <v>1000000</v>
      </c>
      <c r="S245" t="e">
        <v>#N/A</v>
      </c>
    </row>
    <row r="246" spans="1:19" ht="15" x14ac:dyDescent="0.25">
      <c r="A246" t="s">
        <v>423</v>
      </c>
      <c r="B246" s="156">
        <v>0.1</v>
      </c>
      <c r="C246" s="156">
        <v>0.1</v>
      </c>
      <c r="D246" s="156">
        <v>50</v>
      </c>
      <c r="E246" s="157">
        <v>2</v>
      </c>
      <c r="F246" s="157">
        <v>2</v>
      </c>
      <c r="G246" s="157">
        <v>6000</v>
      </c>
      <c r="H246" s="158" t="s">
        <v>358</v>
      </c>
      <c r="I246" s="157">
        <v>0.1</v>
      </c>
      <c r="J246" s="181">
        <v>100000000000</v>
      </c>
      <c r="K246" s="159">
        <v>100000000000</v>
      </c>
      <c r="L246" s="159">
        <v>50000000000000</v>
      </c>
      <c r="M246" s="157">
        <v>2000000000000</v>
      </c>
      <c r="N246" s="157">
        <v>2000000000000</v>
      </c>
      <c r="O246" s="157">
        <v>6000000000000000</v>
      </c>
      <c r="P246" s="156">
        <v>100000000000</v>
      </c>
      <c r="Q246" s="183">
        <v>100</v>
      </c>
      <c r="R246" s="188">
        <v>1000000</v>
      </c>
      <c r="S246" t="e">
        <v>#N/A</v>
      </c>
    </row>
    <row r="247" spans="1:19" ht="15" x14ac:dyDescent="0.25">
      <c r="A247" t="s">
        <v>266</v>
      </c>
      <c r="B247" s="156">
        <v>7.0000000000000007E-2</v>
      </c>
      <c r="C247" s="156">
        <v>7.0000000000000007E-2</v>
      </c>
      <c r="D247" s="156">
        <v>20</v>
      </c>
      <c r="E247" s="157">
        <v>1</v>
      </c>
      <c r="F247" s="157">
        <v>1</v>
      </c>
      <c r="G247" s="157">
        <v>3000</v>
      </c>
      <c r="H247" s="158" t="s">
        <v>358</v>
      </c>
      <c r="I247" s="157">
        <v>7.0000000000000007E-2</v>
      </c>
      <c r="J247" s="181">
        <v>70000000000</v>
      </c>
      <c r="K247" s="159">
        <v>70000000000</v>
      </c>
      <c r="L247" s="159">
        <v>20000000000000</v>
      </c>
      <c r="M247" s="157">
        <v>1000000000000</v>
      </c>
      <c r="N247" s="157">
        <v>1000000000000</v>
      </c>
      <c r="O247" s="157">
        <v>3000000000000000</v>
      </c>
      <c r="P247" s="156">
        <v>70000000000</v>
      </c>
      <c r="Q247" s="183">
        <v>10</v>
      </c>
      <c r="R247" s="188">
        <v>1000000</v>
      </c>
      <c r="S247">
        <v>8.9801505817932906E-2</v>
      </c>
    </row>
    <row r="248" spans="1:19" ht="15" x14ac:dyDescent="0.25">
      <c r="A248" t="s">
        <v>59</v>
      </c>
      <c r="B248" s="156">
        <v>0.7</v>
      </c>
      <c r="C248" s="156">
        <v>0.7</v>
      </c>
      <c r="D248" s="156">
        <v>20</v>
      </c>
      <c r="E248" s="157">
        <v>0.5</v>
      </c>
      <c r="F248" s="157">
        <v>0.5</v>
      </c>
      <c r="G248" s="157">
        <v>1500</v>
      </c>
      <c r="H248" s="158" t="s">
        <v>358</v>
      </c>
      <c r="I248" s="157">
        <v>0.7</v>
      </c>
      <c r="J248" s="181">
        <v>700000000000</v>
      </c>
      <c r="K248" s="159">
        <v>700000000000</v>
      </c>
      <c r="L248" s="159">
        <v>20000000000000</v>
      </c>
      <c r="M248" s="157">
        <v>500000000000</v>
      </c>
      <c r="N248" s="157">
        <v>500000000000</v>
      </c>
      <c r="O248" s="157">
        <v>1500000000000000</v>
      </c>
      <c r="P248" s="156">
        <v>700000000000</v>
      </c>
      <c r="Q248" s="183">
        <v>100</v>
      </c>
      <c r="R248" s="188">
        <v>100000</v>
      </c>
      <c r="S248">
        <v>5.0924024640657102E-2</v>
      </c>
    </row>
    <row r="249" spans="1:19" ht="15" x14ac:dyDescent="0.25">
      <c r="A249" t="s">
        <v>424</v>
      </c>
      <c r="B249" s="156" t="s">
        <v>362</v>
      </c>
      <c r="C249" s="156" t="s">
        <v>362</v>
      </c>
      <c r="D249" s="156" t="s">
        <v>362</v>
      </c>
      <c r="E249" s="157" t="s">
        <v>362</v>
      </c>
      <c r="F249" s="157" t="s">
        <v>362</v>
      </c>
      <c r="G249" s="157" t="s">
        <v>362</v>
      </c>
      <c r="H249" s="161" t="s">
        <v>362</v>
      </c>
      <c r="I249" s="157" t="s">
        <v>362</v>
      </c>
      <c r="J249" s="181" t="s">
        <v>362</v>
      </c>
      <c r="K249" s="159" t="s">
        <v>362</v>
      </c>
      <c r="L249" s="159" t="s">
        <v>362</v>
      </c>
      <c r="M249" s="157" t="s">
        <v>362</v>
      </c>
      <c r="N249" s="157" t="s">
        <v>362</v>
      </c>
      <c r="O249" s="157" t="s">
        <v>362</v>
      </c>
      <c r="P249" s="164" t="s">
        <v>362</v>
      </c>
      <c r="Q249" s="183">
        <v>10000</v>
      </c>
      <c r="R249" s="188">
        <v>10000000</v>
      </c>
      <c r="S249" t="e">
        <v>#N/A</v>
      </c>
    </row>
    <row r="250" spans="1:19" ht="15" x14ac:dyDescent="0.25">
      <c r="A250" t="s">
        <v>425</v>
      </c>
      <c r="B250" s="156">
        <v>0.08</v>
      </c>
      <c r="C250" s="156">
        <v>0.08</v>
      </c>
      <c r="D250" s="156">
        <v>30</v>
      </c>
      <c r="E250" s="157">
        <v>1</v>
      </c>
      <c r="F250" s="157">
        <v>1</v>
      </c>
      <c r="G250" s="157">
        <v>3000</v>
      </c>
      <c r="H250" s="158" t="s">
        <v>358</v>
      </c>
      <c r="I250" s="157">
        <v>0.08</v>
      </c>
      <c r="J250" s="181">
        <v>80000000000</v>
      </c>
      <c r="K250" s="159">
        <v>80000000000</v>
      </c>
      <c r="L250" s="159">
        <v>30000000000000</v>
      </c>
      <c r="M250" s="157">
        <v>1000000000000</v>
      </c>
      <c r="N250" s="157">
        <v>1000000000000</v>
      </c>
      <c r="O250" s="157">
        <v>3000000000000000</v>
      </c>
      <c r="P250" s="156">
        <v>80000000000</v>
      </c>
      <c r="Q250" s="183">
        <v>10</v>
      </c>
      <c r="R250" s="188">
        <v>1000000</v>
      </c>
      <c r="S250" t="e">
        <v>#N/A</v>
      </c>
    </row>
    <row r="251" spans="1:19" ht="15" x14ac:dyDescent="0.25">
      <c r="A251" t="s">
        <v>426</v>
      </c>
      <c r="B251" s="156">
        <v>7.0000000000000007E-2</v>
      </c>
      <c r="C251" s="156">
        <v>7.0000000000000007E-2</v>
      </c>
      <c r="D251" s="156">
        <v>20</v>
      </c>
      <c r="E251" s="157">
        <v>3</v>
      </c>
      <c r="F251" s="157">
        <v>1</v>
      </c>
      <c r="G251" s="157">
        <v>3000</v>
      </c>
      <c r="H251" s="158" t="s">
        <v>358</v>
      </c>
      <c r="I251" s="157">
        <v>7.0000000000000007E-2</v>
      </c>
      <c r="J251" s="181">
        <v>70000000000</v>
      </c>
      <c r="K251" s="159">
        <v>70000000000</v>
      </c>
      <c r="L251" s="159">
        <v>20000000000000</v>
      </c>
      <c r="M251" s="157">
        <v>3000000000000</v>
      </c>
      <c r="N251" s="157">
        <v>1000000000000</v>
      </c>
      <c r="O251" s="157">
        <v>3000000000000000</v>
      </c>
      <c r="P251" s="156">
        <v>70000000000</v>
      </c>
      <c r="Q251" s="183">
        <v>100</v>
      </c>
      <c r="R251" s="188">
        <v>1000000</v>
      </c>
      <c r="S251" t="e">
        <v>#N/A</v>
      </c>
    </row>
    <row r="252" spans="1:19" ht="15" x14ac:dyDescent="0.25">
      <c r="A252" t="s">
        <v>154</v>
      </c>
      <c r="B252" s="156">
        <v>4</v>
      </c>
      <c r="C252" s="156">
        <v>4</v>
      </c>
      <c r="D252" s="156">
        <v>10</v>
      </c>
      <c r="E252" s="157">
        <v>2</v>
      </c>
      <c r="F252" s="157">
        <v>0.6</v>
      </c>
      <c r="G252" s="157">
        <v>1800</v>
      </c>
      <c r="H252" s="158" t="s">
        <v>358</v>
      </c>
      <c r="I252" s="157">
        <v>4</v>
      </c>
      <c r="J252" s="181">
        <v>4000000000000</v>
      </c>
      <c r="K252" s="159">
        <v>4000000000000</v>
      </c>
      <c r="L252" s="159">
        <v>10000000000000</v>
      </c>
      <c r="M252" s="157">
        <v>2000000000000</v>
      </c>
      <c r="N252" s="157">
        <v>600000000000</v>
      </c>
      <c r="O252" s="157">
        <v>1800000000000000</v>
      </c>
      <c r="P252" s="156">
        <v>4000000000000</v>
      </c>
      <c r="Q252" s="183">
        <v>1000</v>
      </c>
      <c r="R252" s="188">
        <v>1000000</v>
      </c>
      <c r="S252">
        <v>1.03490759753593E-2</v>
      </c>
    </row>
    <row r="253" spans="1:19" ht="15" x14ac:dyDescent="0.25">
      <c r="A253" t="s">
        <v>427</v>
      </c>
      <c r="B253" s="156" t="s">
        <v>362</v>
      </c>
      <c r="C253" s="156" t="s">
        <v>362</v>
      </c>
      <c r="D253" s="156" t="s">
        <v>362</v>
      </c>
      <c r="E253" s="157" t="s">
        <v>362</v>
      </c>
      <c r="F253" s="157" t="s">
        <v>362</v>
      </c>
      <c r="G253" s="157" t="s">
        <v>362</v>
      </c>
      <c r="H253" s="161" t="s">
        <v>362</v>
      </c>
      <c r="I253" s="157" t="s">
        <v>362</v>
      </c>
      <c r="J253" s="181" t="s">
        <v>362</v>
      </c>
      <c r="K253" s="159" t="s">
        <v>362</v>
      </c>
      <c r="L253" s="159" t="s">
        <v>362</v>
      </c>
      <c r="M253" s="157" t="s">
        <v>362</v>
      </c>
      <c r="N253" s="157" t="s">
        <v>362</v>
      </c>
      <c r="O253" s="157" t="s">
        <v>362</v>
      </c>
      <c r="P253" s="164" t="s">
        <v>362</v>
      </c>
      <c r="Q253" s="183">
        <v>1000000</v>
      </c>
      <c r="R253" s="188">
        <v>1000000000</v>
      </c>
      <c r="S253" t="e">
        <v>#N/A</v>
      </c>
    </row>
    <row r="254" spans="1:19" ht="15" x14ac:dyDescent="0.25">
      <c r="A254" t="s">
        <v>155</v>
      </c>
      <c r="B254" s="156">
        <v>1</v>
      </c>
      <c r="C254" s="156">
        <v>1</v>
      </c>
      <c r="D254" s="156">
        <v>30</v>
      </c>
      <c r="E254" s="157">
        <v>0.4</v>
      </c>
      <c r="F254" s="157">
        <v>0.4</v>
      </c>
      <c r="G254" s="157">
        <v>1200</v>
      </c>
      <c r="H254" s="158" t="s">
        <v>358</v>
      </c>
      <c r="I254" s="157">
        <v>1</v>
      </c>
      <c r="J254" s="181">
        <v>1000000000000</v>
      </c>
      <c r="K254" s="159">
        <v>1000000000000</v>
      </c>
      <c r="L254" s="159">
        <v>30000000000000</v>
      </c>
      <c r="M254" s="157">
        <v>400000000000</v>
      </c>
      <c r="N254" s="157">
        <v>400000000000</v>
      </c>
      <c r="O254" s="157">
        <v>1200000000000000</v>
      </c>
      <c r="P254" s="156">
        <v>1000000000000</v>
      </c>
      <c r="Q254" s="183">
        <v>100</v>
      </c>
      <c r="R254" s="188">
        <v>100000</v>
      </c>
      <c r="S254">
        <v>1.9393109742186E-3</v>
      </c>
    </row>
    <row r="255" spans="1:19" ht="15" x14ac:dyDescent="0.25">
      <c r="A255" t="s">
        <v>428</v>
      </c>
      <c r="B255" s="156">
        <v>1</v>
      </c>
      <c r="C255" s="156">
        <v>1</v>
      </c>
      <c r="D255" s="156">
        <v>10</v>
      </c>
      <c r="E255" s="157">
        <v>3</v>
      </c>
      <c r="F255" s="157">
        <v>0.6</v>
      </c>
      <c r="G255" s="157">
        <v>1800</v>
      </c>
      <c r="H255" s="158" t="s">
        <v>358</v>
      </c>
      <c r="I255" s="157">
        <v>1</v>
      </c>
      <c r="J255" s="181">
        <v>1000000000000</v>
      </c>
      <c r="K255" s="159">
        <v>1000000000000</v>
      </c>
      <c r="L255" s="159">
        <v>10000000000000</v>
      </c>
      <c r="M255" s="157">
        <v>3000000000000</v>
      </c>
      <c r="N255" s="157">
        <v>600000000000</v>
      </c>
      <c r="O255" s="157">
        <v>1800000000000000</v>
      </c>
      <c r="P255" s="156">
        <v>1000000000000</v>
      </c>
      <c r="Q255" s="183">
        <v>100</v>
      </c>
      <c r="R255" s="188">
        <v>1000000</v>
      </c>
      <c r="S255">
        <v>2.7379092630000002E-4</v>
      </c>
    </row>
    <row r="256" spans="1:19" ht="15" x14ac:dyDescent="0.25">
      <c r="A256" t="s">
        <v>429</v>
      </c>
      <c r="B256" s="156">
        <v>0.3</v>
      </c>
      <c r="C256" s="156">
        <v>0.3</v>
      </c>
      <c r="D256" s="156">
        <v>100</v>
      </c>
      <c r="E256" s="157">
        <v>4</v>
      </c>
      <c r="F256" s="157">
        <v>3</v>
      </c>
      <c r="G256" s="157">
        <v>9000</v>
      </c>
      <c r="H256" s="158" t="s">
        <v>358</v>
      </c>
      <c r="I256" s="157">
        <v>0.3</v>
      </c>
      <c r="J256" s="181">
        <v>300000000000</v>
      </c>
      <c r="K256" s="159">
        <v>300000000000</v>
      </c>
      <c r="L256" s="159">
        <v>100000000000000</v>
      </c>
      <c r="M256" s="157">
        <v>4000000000000</v>
      </c>
      <c r="N256" s="157">
        <v>3000000000000</v>
      </c>
      <c r="O256" s="157">
        <v>9000000000000000</v>
      </c>
      <c r="P256" s="156">
        <v>300000000000</v>
      </c>
      <c r="Q256" s="183">
        <v>100</v>
      </c>
      <c r="R256" s="188">
        <v>10000000</v>
      </c>
      <c r="S256" t="e">
        <v>#N/A</v>
      </c>
    </row>
    <row r="257" spans="1:19" ht="15" x14ac:dyDescent="0.25">
      <c r="A257" t="s">
        <v>430</v>
      </c>
      <c r="B257" s="156">
        <v>0.03</v>
      </c>
      <c r="C257" s="156">
        <v>0.03</v>
      </c>
      <c r="D257" s="156">
        <v>30</v>
      </c>
      <c r="E257" s="157">
        <v>0.5</v>
      </c>
      <c r="F257" s="157">
        <v>0.5</v>
      </c>
      <c r="G257" s="157">
        <v>1500</v>
      </c>
      <c r="H257" s="158" t="s">
        <v>358</v>
      </c>
      <c r="I257" s="157">
        <v>0.03</v>
      </c>
      <c r="J257" s="181">
        <v>30000000000</v>
      </c>
      <c r="K257" s="159">
        <v>30000000000</v>
      </c>
      <c r="L257" s="159">
        <v>30000000000000</v>
      </c>
      <c r="M257" s="157">
        <v>500000000000</v>
      </c>
      <c r="N257" s="157">
        <v>500000000000</v>
      </c>
      <c r="O257" s="157">
        <v>1500000000000000</v>
      </c>
      <c r="P257" s="156">
        <v>30000000000</v>
      </c>
      <c r="Q257" s="183">
        <v>10</v>
      </c>
      <c r="R257" s="188">
        <v>1000000</v>
      </c>
      <c r="S257" t="e">
        <v>#N/A</v>
      </c>
    </row>
    <row r="258" spans="1:19" ht="15" x14ac:dyDescent="0.25">
      <c r="A258" t="s">
        <v>431</v>
      </c>
      <c r="B258" s="156">
        <v>0.1</v>
      </c>
      <c r="C258" s="156">
        <v>0.1</v>
      </c>
      <c r="D258" s="156">
        <v>40</v>
      </c>
      <c r="E258" s="157">
        <v>2</v>
      </c>
      <c r="F258" s="157">
        <v>2</v>
      </c>
      <c r="G258" s="157">
        <v>6000</v>
      </c>
      <c r="H258" s="158" t="s">
        <v>358</v>
      </c>
      <c r="I258" s="157">
        <v>0.1</v>
      </c>
      <c r="J258" s="181">
        <v>100000000000</v>
      </c>
      <c r="K258" s="159">
        <v>100000000000</v>
      </c>
      <c r="L258" s="159">
        <v>40000000000000</v>
      </c>
      <c r="M258" s="157">
        <v>2000000000000</v>
      </c>
      <c r="N258" s="157">
        <v>2000000000000</v>
      </c>
      <c r="O258" s="157">
        <v>6000000000000000</v>
      </c>
      <c r="P258" s="156">
        <v>100000000000</v>
      </c>
      <c r="Q258" s="183">
        <v>100</v>
      </c>
      <c r="R258" s="188">
        <v>1000000</v>
      </c>
      <c r="S258" t="e">
        <v>#N/A</v>
      </c>
    </row>
    <row r="259" spans="1:19" ht="15" x14ac:dyDescent="0.25">
      <c r="A259" t="s">
        <v>87</v>
      </c>
      <c r="B259" s="156">
        <v>900</v>
      </c>
      <c r="C259" s="156">
        <v>900</v>
      </c>
      <c r="D259" s="156">
        <v>10000</v>
      </c>
      <c r="E259" s="157">
        <v>40</v>
      </c>
      <c r="F259" s="157">
        <v>40</v>
      </c>
      <c r="G259" s="157">
        <v>120000</v>
      </c>
      <c r="H259" s="158" t="s">
        <v>358</v>
      </c>
      <c r="I259" s="157">
        <v>900</v>
      </c>
      <c r="J259" s="181">
        <v>900000000000000</v>
      </c>
      <c r="K259" s="159">
        <v>900000000000000</v>
      </c>
      <c r="L259" s="159">
        <v>1E+16</v>
      </c>
      <c r="M259" s="157">
        <v>40000000000000</v>
      </c>
      <c r="N259" s="157">
        <v>40000000000000</v>
      </c>
      <c r="O259" s="157">
        <v>1.2E+17</v>
      </c>
      <c r="P259" s="156">
        <v>900000000000000</v>
      </c>
      <c r="Q259" s="183">
        <v>10000</v>
      </c>
      <c r="R259" s="188">
        <v>100000000</v>
      </c>
      <c r="S259" t="e">
        <v>#N/A</v>
      </c>
    </row>
    <row r="260" spans="1:19" ht="15" x14ac:dyDescent="0.25">
      <c r="A260" t="s">
        <v>88</v>
      </c>
      <c r="B260" s="156">
        <v>0.9</v>
      </c>
      <c r="C260" s="156">
        <v>0.9</v>
      </c>
      <c r="D260" s="156">
        <v>80</v>
      </c>
      <c r="E260" s="157">
        <v>10</v>
      </c>
      <c r="F260" s="157">
        <v>0.8</v>
      </c>
      <c r="G260" s="157">
        <v>2400</v>
      </c>
      <c r="H260" s="158" t="s">
        <v>358</v>
      </c>
      <c r="I260" s="157">
        <v>0.9</v>
      </c>
      <c r="J260" s="181">
        <v>900000000000</v>
      </c>
      <c r="K260" s="159">
        <v>900000000000</v>
      </c>
      <c r="L260" s="159">
        <v>80000000000000</v>
      </c>
      <c r="M260" s="157">
        <v>10000000000000</v>
      </c>
      <c r="N260" s="157">
        <v>800000000000</v>
      </c>
      <c r="O260" s="157">
        <v>2400000000000000</v>
      </c>
      <c r="P260" s="156">
        <v>900000000000</v>
      </c>
      <c r="Q260" s="183">
        <v>100</v>
      </c>
      <c r="R260" s="188">
        <v>10000000</v>
      </c>
      <c r="S260" t="e">
        <v>#N/A</v>
      </c>
    </row>
    <row r="261" spans="1:19" ht="15" x14ac:dyDescent="0.25">
      <c r="A261" t="s">
        <v>432</v>
      </c>
      <c r="B261" s="156">
        <v>0.1</v>
      </c>
      <c r="C261" s="156">
        <v>0.1</v>
      </c>
      <c r="D261" s="156">
        <v>100</v>
      </c>
      <c r="E261" s="157">
        <v>2</v>
      </c>
      <c r="F261" s="157">
        <v>2</v>
      </c>
      <c r="G261" s="157">
        <v>6000</v>
      </c>
      <c r="H261" s="158" t="s">
        <v>358</v>
      </c>
      <c r="I261" s="157">
        <v>0.1</v>
      </c>
      <c r="J261" s="181">
        <v>100000000000</v>
      </c>
      <c r="K261" s="159">
        <v>100000000000</v>
      </c>
      <c r="L261" s="159">
        <v>100000000000000</v>
      </c>
      <c r="M261" s="157">
        <v>2000000000000</v>
      </c>
      <c r="N261" s="157">
        <v>2000000000000</v>
      </c>
      <c r="O261" s="157">
        <v>6000000000000000</v>
      </c>
      <c r="P261" s="156">
        <v>100000000000</v>
      </c>
      <c r="Q261" s="183">
        <v>10</v>
      </c>
      <c r="R261" s="188">
        <v>1000000</v>
      </c>
      <c r="S261" t="e">
        <v>#N/A</v>
      </c>
    </row>
    <row r="262" spans="1:19" ht="15" x14ac:dyDescent="0.25">
      <c r="A262" t="s">
        <v>242</v>
      </c>
      <c r="B262" s="156">
        <v>0.04</v>
      </c>
      <c r="C262" s="156">
        <v>0.04</v>
      </c>
      <c r="D262" s="156">
        <v>90000</v>
      </c>
      <c r="E262" s="157">
        <v>0.3</v>
      </c>
      <c r="F262" s="157">
        <v>4.0000000000000001E-3</v>
      </c>
      <c r="G262" s="157">
        <v>12</v>
      </c>
      <c r="H262" s="158" t="s">
        <v>358</v>
      </c>
      <c r="I262" s="157">
        <v>0.04</v>
      </c>
      <c r="J262" s="181">
        <v>40000000000</v>
      </c>
      <c r="K262" s="159">
        <v>40000000000</v>
      </c>
      <c r="L262" s="159">
        <v>9E+16</v>
      </c>
      <c r="M262" s="157">
        <v>300000000000</v>
      </c>
      <c r="N262" s="157">
        <v>4000000000</v>
      </c>
      <c r="O262" s="157">
        <v>12000000000000</v>
      </c>
      <c r="P262" s="156">
        <v>40000000000</v>
      </c>
      <c r="Q262" s="183">
        <v>10</v>
      </c>
      <c r="R262" s="188">
        <v>100000000</v>
      </c>
      <c r="S262" t="e">
        <v>#N/A</v>
      </c>
    </row>
    <row r="263" spans="1:19" ht="15" x14ac:dyDescent="0.25">
      <c r="A263" t="s">
        <v>85</v>
      </c>
      <c r="B263" s="156">
        <v>0.1</v>
      </c>
      <c r="C263" s="156">
        <v>0.1</v>
      </c>
      <c r="D263" s="156">
        <v>30</v>
      </c>
      <c r="E263" s="157">
        <v>2</v>
      </c>
      <c r="F263" s="157">
        <v>2</v>
      </c>
      <c r="G263" s="157">
        <v>6000</v>
      </c>
      <c r="H263" s="158" t="s">
        <v>358</v>
      </c>
      <c r="I263" s="157">
        <v>0.1</v>
      </c>
      <c r="J263" s="181">
        <v>100000000000</v>
      </c>
      <c r="K263" s="159">
        <v>100000000000</v>
      </c>
      <c r="L263" s="159">
        <v>30000000000000</v>
      </c>
      <c r="M263" s="157">
        <v>2000000000000</v>
      </c>
      <c r="N263" s="157">
        <v>2000000000000</v>
      </c>
      <c r="O263" s="157">
        <v>6000000000000000</v>
      </c>
      <c r="P263" s="156">
        <v>100000000000</v>
      </c>
      <c r="Q263" s="183">
        <v>100</v>
      </c>
      <c r="R263" s="188">
        <v>1000000</v>
      </c>
      <c r="S263">
        <v>0.107597535934291</v>
      </c>
    </row>
    <row r="264" spans="1:19" ht="15" x14ac:dyDescent="0.25">
      <c r="A264" t="s">
        <v>86</v>
      </c>
      <c r="B264" s="156">
        <v>0.08</v>
      </c>
      <c r="C264" s="156">
        <v>0.08</v>
      </c>
      <c r="D264" s="156">
        <v>20</v>
      </c>
      <c r="E264" s="157">
        <v>1</v>
      </c>
      <c r="F264" s="157">
        <v>0.6</v>
      </c>
      <c r="G264" s="157">
        <v>1800</v>
      </c>
      <c r="H264" s="158" t="s">
        <v>358</v>
      </c>
      <c r="I264" s="157">
        <v>0.08</v>
      </c>
      <c r="J264" s="181">
        <v>80000000000</v>
      </c>
      <c r="K264" s="159">
        <v>80000000000</v>
      </c>
      <c r="L264" s="159">
        <v>20000000000000</v>
      </c>
      <c r="M264" s="157">
        <v>1000000000000</v>
      </c>
      <c r="N264" s="157">
        <v>600000000000</v>
      </c>
      <c r="O264" s="157">
        <v>1800000000000000</v>
      </c>
      <c r="P264" s="156">
        <v>80000000000</v>
      </c>
      <c r="Q264" s="183">
        <v>10</v>
      </c>
      <c r="R264" s="188">
        <v>1000000</v>
      </c>
      <c r="S264" t="e">
        <v>#N/A</v>
      </c>
    </row>
    <row r="265" spans="1:19" ht="15" x14ac:dyDescent="0.25">
      <c r="A265" t="s">
        <v>235</v>
      </c>
      <c r="B265" s="156">
        <v>0.3</v>
      </c>
      <c r="C265" s="156">
        <v>0.3</v>
      </c>
      <c r="D265" s="156">
        <v>10</v>
      </c>
      <c r="E265" s="157">
        <v>0.2</v>
      </c>
      <c r="F265" s="157">
        <v>0.2</v>
      </c>
      <c r="G265" s="160">
        <v>3</v>
      </c>
      <c r="H265" s="158" t="s">
        <v>361</v>
      </c>
      <c r="I265" s="157">
        <v>0.3</v>
      </c>
      <c r="J265" s="181">
        <v>300000000000</v>
      </c>
      <c r="K265" s="159">
        <v>300000000000</v>
      </c>
      <c r="L265" s="159">
        <v>10000000000000</v>
      </c>
      <c r="M265" s="157">
        <v>200000000000</v>
      </c>
      <c r="N265" s="157">
        <v>200000000000</v>
      </c>
      <c r="O265" s="157">
        <v>3000000000000</v>
      </c>
      <c r="P265" s="156">
        <v>300000000000</v>
      </c>
      <c r="Q265" s="183">
        <v>100</v>
      </c>
      <c r="R265" s="188">
        <v>100000</v>
      </c>
      <c r="S265">
        <v>1.01</v>
      </c>
    </row>
    <row r="266" spans="1:19" ht="15" x14ac:dyDescent="0.25">
      <c r="A266" t="s">
        <v>84</v>
      </c>
      <c r="B266" s="156">
        <v>0.3</v>
      </c>
      <c r="C266" s="156">
        <v>0.3</v>
      </c>
      <c r="D266" s="156">
        <v>500</v>
      </c>
      <c r="E266" s="157">
        <v>5</v>
      </c>
      <c r="F266" s="157">
        <v>5</v>
      </c>
      <c r="G266" s="157">
        <v>15000</v>
      </c>
      <c r="H266" s="158" t="s">
        <v>358</v>
      </c>
      <c r="I266" s="157">
        <v>0.3</v>
      </c>
      <c r="J266" s="181">
        <v>300000000000</v>
      </c>
      <c r="K266" s="159">
        <v>300000000000</v>
      </c>
      <c r="L266" s="159">
        <v>500000000000000</v>
      </c>
      <c r="M266" s="157">
        <v>5000000000000</v>
      </c>
      <c r="N266" s="157">
        <v>5000000000000</v>
      </c>
      <c r="O266" s="157">
        <v>1.5E+16</v>
      </c>
      <c r="P266" s="156">
        <v>300000000000</v>
      </c>
      <c r="Q266" s="183">
        <v>100</v>
      </c>
      <c r="R266" s="188">
        <v>10000000</v>
      </c>
      <c r="S266" t="e">
        <v>#N/A</v>
      </c>
    </row>
    <row r="267" spans="1:19" ht="15" x14ac:dyDescent="0.25">
      <c r="A267" t="s">
        <v>16</v>
      </c>
      <c r="B267" s="156">
        <v>60</v>
      </c>
      <c r="C267" s="156">
        <v>40000</v>
      </c>
      <c r="D267" s="156">
        <v>60</v>
      </c>
      <c r="E267" s="157">
        <v>40</v>
      </c>
      <c r="F267" s="157">
        <v>3</v>
      </c>
      <c r="G267" s="157">
        <v>9000</v>
      </c>
      <c r="H267" s="158" t="s">
        <v>358</v>
      </c>
      <c r="I267" s="157">
        <v>60</v>
      </c>
      <c r="J267" s="181">
        <v>60000000000000</v>
      </c>
      <c r="K267" s="159">
        <v>4E+16</v>
      </c>
      <c r="L267" s="159">
        <v>60000000000000</v>
      </c>
      <c r="M267" s="157">
        <v>40000000000000</v>
      </c>
      <c r="N267" s="157">
        <v>3000000000000</v>
      </c>
      <c r="O267" s="157">
        <v>9000000000000000</v>
      </c>
      <c r="P267" s="156">
        <v>60000000000000</v>
      </c>
      <c r="Q267" s="183">
        <v>100000</v>
      </c>
      <c r="R267" s="188">
        <v>100000000</v>
      </c>
      <c r="S267">
        <v>0.23928815879534501</v>
      </c>
    </row>
    <row r="268" spans="1:19" ht="15" x14ac:dyDescent="0.25">
      <c r="A268" t="s">
        <v>99</v>
      </c>
      <c r="B268" s="156">
        <v>0.1</v>
      </c>
      <c r="C268" s="156">
        <v>0.1</v>
      </c>
      <c r="D268" s="156">
        <v>20</v>
      </c>
      <c r="E268" s="157">
        <v>0.4</v>
      </c>
      <c r="F268" s="157">
        <v>0.4</v>
      </c>
      <c r="G268" s="157">
        <v>1200</v>
      </c>
      <c r="H268" s="158" t="s">
        <v>358</v>
      </c>
      <c r="I268" s="157">
        <v>0.1</v>
      </c>
      <c r="J268" s="181">
        <v>100000000000</v>
      </c>
      <c r="K268" s="159">
        <v>100000000000</v>
      </c>
      <c r="L268" s="159">
        <v>20000000000000</v>
      </c>
      <c r="M268" s="157">
        <v>400000000000</v>
      </c>
      <c r="N268" s="157">
        <v>400000000000</v>
      </c>
      <c r="O268" s="157">
        <v>1200000000000000</v>
      </c>
      <c r="P268" s="156">
        <v>100000000000</v>
      </c>
      <c r="Q268" s="183">
        <v>100</v>
      </c>
      <c r="R268" s="188">
        <v>10000</v>
      </c>
      <c r="S268">
        <v>7.3921971252566996E-3</v>
      </c>
    </row>
    <row r="269" spans="1:19" ht="15" x14ac:dyDescent="0.25">
      <c r="A269" t="s">
        <v>100</v>
      </c>
      <c r="B269" s="156">
        <v>0.04</v>
      </c>
      <c r="C269" s="156">
        <v>0.04</v>
      </c>
      <c r="D269" s="156">
        <v>10</v>
      </c>
      <c r="E269" s="157">
        <v>0.6</v>
      </c>
      <c r="F269" s="157">
        <v>0.6</v>
      </c>
      <c r="G269" s="157">
        <v>1800</v>
      </c>
      <c r="H269" s="158" t="s">
        <v>358</v>
      </c>
      <c r="I269" s="157">
        <v>0.04</v>
      </c>
      <c r="J269" s="181">
        <v>40000000000</v>
      </c>
      <c r="K269" s="159">
        <v>40000000000</v>
      </c>
      <c r="L269" s="159">
        <v>10000000000000</v>
      </c>
      <c r="M269" s="157">
        <v>600000000000</v>
      </c>
      <c r="N269" s="157">
        <v>600000000000</v>
      </c>
      <c r="O269" s="157">
        <v>1800000000000000</v>
      </c>
      <c r="P269" s="156">
        <v>40000000000</v>
      </c>
      <c r="Q269" s="183">
        <v>10</v>
      </c>
      <c r="R269" s="188">
        <v>1000000</v>
      </c>
      <c r="S269">
        <v>0.164818617385352</v>
      </c>
    </row>
    <row r="270" spans="1:19" ht="15" x14ac:dyDescent="0.25">
      <c r="A270" t="s">
        <v>101</v>
      </c>
      <c r="B270" s="156">
        <v>0.2</v>
      </c>
      <c r="C270" s="156">
        <v>0.2</v>
      </c>
      <c r="D270" s="156">
        <v>30</v>
      </c>
      <c r="E270" s="157">
        <v>2</v>
      </c>
      <c r="F270" s="157">
        <v>1</v>
      </c>
      <c r="G270" s="157">
        <v>3000</v>
      </c>
      <c r="H270" s="158" t="s">
        <v>358</v>
      </c>
      <c r="I270" s="157">
        <v>0.2</v>
      </c>
      <c r="J270" s="181">
        <v>200000000000</v>
      </c>
      <c r="K270" s="159">
        <v>200000000000</v>
      </c>
      <c r="L270" s="159">
        <v>30000000000000</v>
      </c>
      <c r="M270" s="157">
        <v>2000000000000</v>
      </c>
      <c r="N270" s="157">
        <v>1000000000000</v>
      </c>
      <c r="O270" s="157">
        <v>3000000000000000</v>
      </c>
      <c r="P270" s="156">
        <v>200000000000</v>
      </c>
      <c r="Q270" s="183">
        <v>100</v>
      </c>
      <c r="R270" s="188">
        <v>1000000</v>
      </c>
      <c r="S270">
        <v>2.77</v>
      </c>
    </row>
    <row r="271" spans="1:19" ht="15" x14ac:dyDescent="0.25">
      <c r="A271" t="s">
        <v>433</v>
      </c>
      <c r="B271" s="156">
        <v>0.02</v>
      </c>
      <c r="C271" s="156">
        <v>0.02</v>
      </c>
      <c r="D271" s="156">
        <v>20</v>
      </c>
      <c r="E271" s="157">
        <v>0.4</v>
      </c>
      <c r="F271" s="157">
        <v>0.4</v>
      </c>
      <c r="G271" s="157">
        <v>1200</v>
      </c>
      <c r="H271" s="158" t="s">
        <v>358</v>
      </c>
      <c r="I271" s="157">
        <v>0.02</v>
      </c>
      <c r="J271" s="181">
        <v>20000000000</v>
      </c>
      <c r="K271" s="159">
        <v>20000000000</v>
      </c>
      <c r="L271" s="159">
        <v>20000000000000</v>
      </c>
      <c r="M271" s="157">
        <v>400000000000</v>
      </c>
      <c r="N271" s="157">
        <v>400000000000</v>
      </c>
      <c r="O271" s="157">
        <v>1200000000000000</v>
      </c>
      <c r="P271" s="156">
        <v>20000000000</v>
      </c>
      <c r="Q271" s="183">
        <v>10</v>
      </c>
      <c r="R271" s="188">
        <v>100000</v>
      </c>
      <c r="S271" t="e">
        <v>#N/A</v>
      </c>
    </row>
    <row r="272" spans="1:19" ht="15" x14ac:dyDescent="0.25">
      <c r="A272" t="s">
        <v>434</v>
      </c>
      <c r="B272" s="156">
        <v>0.03</v>
      </c>
      <c r="C272" s="156">
        <v>0.03</v>
      </c>
      <c r="D272" s="156">
        <v>10</v>
      </c>
      <c r="E272" s="157">
        <v>0.5</v>
      </c>
      <c r="F272" s="157">
        <v>0.5</v>
      </c>
      <c r="G272" s="157">
        <v>1500</v>
      </c>
      <c r="H272" s="158" t="s">
        <v>358</v>
      </c>
      <c r="I272" s="157">
        <v>0.03</v>
      </c>
      <c r="J272" s="181">
        <v>30000000000</v>
      </c>
      <c r="K272" s="159">
        <v>30000000000</v>
      </c>
      <c r="L272" s="159">
        <v>10000000000000</v>
      </c>
      <c r="M272" s="157">
        <v>500000000000</v>
      </c>
      <c r="N272" s="157">
        <v>500000000000</v>
      </c>
      <c r="O272" s="157">
        <v>1500000000000000</v>
      </c>
      <c r="P272" s="156">
        <v>30000000000</v>
      </c>
      <c r="Q272" s="183">
        <v>10</v>
      </c>
      <c r="R272" s="188">
        <v>100000</v>
      </c>
      <c r="S272" t="e">
        <v>#N/A</v>
      </c>
    </row>
    <row r="273" spans="1:19" ht="15" x14ac:dyDescent="0.25">
      <c r="A273" t="s">
        <v>23</v>
      </c>
      <c r="B273" s="156">
        <v>0.03</v>
      </c>
      <c r="C273" s="156">
        <v>0.03</v>
      </c>
      <c r="D273" s="156">
        <v>40</v>
      </c>
      <c r="E273" s="157">
        <v>0.5</v>
      </c>
      <c r="F273" s="157">
        <v>0.5</v>
      </c>
      <c r="G273" s="157">
        <v>1500</v>
      </c>
      <c r="H273" s="158" t="s">
        <v>358</v>
      </c>
      <c r="I273" s="157">
        <v>0.03</v>
      </c>
      <c r="J273" s="181">
        <v>30000000000</v>
      </c>
      <c r="K273" s="159">
        <v>30000000000</v>
      </c>
      <c r="L273" s="159">
        <v>40000000000000</v>
      </c>
      <c r="M273" s="157">
        <v>500000000000</v>
      </c>
      <c r="N273" s="157">
        <v>500000000000</v>
      </c>
      <c r="O273" s="157">
        <v>1500000000000000</v>
      </c>
      <c r="P273" s="156">
        <v>30000000000</v>
      </c>
      <c r="Q273" s="183">
        <v>10</v>
      </c>
      <c r="R273" s="188">
        <v>1000000</v>
      </c>
      <c r="S273">
        <v>0.22943189596166999</v>
      </c>
    </row>
    <row r="274" spans="1:19" ht="15" x14ac:dyDescent="0.25">
      <c r="A274" t="s">
        <v>24</v>
      </c>
      <c r="B274" s="156">
        <v>0.7</v>
      </c>
      <c r="C274" s="156">
        <v>0.7</v>
      </c>
      <c r="D274" s="156">
        <v>80</v>
      </c>
      <c r="E274" s="157">
        <v>10</v>
      </c>
      <c r="F274" s="157">
        <v>0.7</v>
      </c>
      <c r="G274" s="157">
        <v>2100</v>
      </c>
      <c r="H274" s="158" t="s">
        <v>358</v>
      </c>
      <c r="I274" s="157">
        <v>0.7</v>
      </c>
      <c r="J274" s="181">
        <v>700000000000</v>
      </c>
      <c r="K274" s="159">
        <v>700000000000</v>
      </c>
      <c r="L274" s="159">
        <v>80000000000000</v>
      </c>
      <c r="M274" s="157">
        <v>10000000000000</v>
      </c>
      <c r="N274" s="157">
        <v>700000000000</v>
      </c>
      <c r="O274" s="157">
        <v>2100000000000000</v>
      </c>
      <c r="P274" s="156">
        <v>700000000000</v>
      </c>
      <c r="Q274" s="183">
        <v>100</v>
      </c>
      <c r="R274" s="188">
        <v>1000000</v>
      </c>
      <c r="S274">
        <v>9.1439999999999994E-3</v>
      </c>
    </row>
    <row r="275" spans="1:19" ht="15" x14ac:dyDescent="0.25">
      <c r="A275" t="s">
        <v>25</v>
      </c>
      <c r="B275" s="156">
        <v>0.02</v>
      </c>
      <c r="C275" s="156">
        <v>0.02</v>
      </c>
      <c r="D275" s="156">
        <v>30</v>
      </c>
      <c r="E275" s="157">
        <v>0.3</v>
      </c>
      <c r="F275" s="157">
        <v>0.3</v>
      </c>
      <c r="G275" s="157">
        <v>900</v>
      </c>
      <c r="H275" s="158" t="s">
        <v>358</v>
      </c>
      <c r="I275" s="157">
        <v>0.02</v>
      </c>
      <c r="J275" s="181">
        <v>20000000000</v>
      </c>
      <c r="K275" s="159">
        <v>20000000000</v>
      </c>
      <c r="L275" s="159">
        <v>30000000000000</v>
      </c>
      <c r="M275" s="157">
        <v>300000000000</v>
      </c>
      <c r="N275" s="157">
        <v>300000000000</v>
      </c>
      <c r="O275" s="157">
        <v>900000000000000</v>
      </c>
      <c r="P275" s="156">
        <v>20000000000</v>
      </c>
      <c r="Q275" s="183">
        <v>10</v>
      </c>
      <c r="R275" s="188">
        <v>100000</v>
      </c>
      <c r="S275" t="e">
        <v>#N/A</v>
      </c>
    </row>
    <row r="276" spans="1:19" ht="15" x14ac:dyDescent="0.25">
      <c r="A276" t="s">
        <v>53</v>
      </c>
      <c r="B276" s="156">
        <v>0.2</v>
      </c>
      <c r="C276" s="156">
        <v>0.2</v>
      </c>
      <c r="D276" s="156">
        <v>200</v>
      </c>
      <c r="E276" s="157">
        <v>3</v>
      </c>
      <c r="F276" s="157">
        <v>3</v>
      </c>
      <c r="G276" s="160">
        <v>2</v>
      </c>
      <c r="H276" s="158" t="s">
        <v>361</v>
      </c>
      <c r="I276" s="163">
        <v>0.2</v>
      </c>
      <c r="J276" s="181">
        <v>200000000000</v>
      </c>
      <c r="K276" s="159">
        <v>200000000000</v>
      </c>
      <c r="L276" s="159">
        <v>200000000000000</v>
      </c>
      <c r="M276" s="157">
        <v>3000000000000</v>
      </c>
      <c r="N276" s="157">
        <v>3000000000000</v>
      </c>
      <c r="O276" s="157">
        <v>2000000000000</v>
      </c>
      <c r="P276" s="156">
        <v>200000000000</v>
      </c>
      <c r="Q276" s="183">
        <v>100</v>
      </c>
      <c r="R276" s="188">
        <v>1000000</v>
      </c>
      <c r="S276">
        <v>0.32854209445585197</v>
      </c>
    </row>
    <row r="277" spans="1:19" ht="15" x14ac:dyDescent="0.25">
      <c r="A277" t="s">
        <v>435</v>
      </c>
      <c r="B277" s="156">
        <v>200</v>
      </c>
      <c r="C277" s="156" t="s">
        <v>362</v>
      </c>
      <c r="D277" s="156">
        <v>200</v>
      </c>
      <c r="E277" s="157">
        <v>40</v>
      </c>
      <c r="F277" s="157">
        <v>2</v>
      </c>
      <c r="G277" s="157">
        <v>6000</v>
      </c>
      <c r="H277" s="158" t="s">
        <v>358</v>
      </c>
      <c r="I277" s="157">
        <v>200</v>
      </c>
      <c r="J277" s="181">
        <v>200000000000000</v>
      </c>
      <c r="K277" s="159" t="s">
        <v>362</v>
      </c>
      <c r="L277" s="159">
        <v>200000000000000</v>
      </c>
      <c r="M277" s="157">
        <v>40000000000000</v>
      </c>
      <c r="N277" s="157">
        <v>2000000000000</v>
      </c>
      <c r="O277" s="157">
        <v>6000000000000000</v>
      </c>
      <c r="P277" s="156">
        <v>200000000000000</v>
      </c>
      <c r="Q277" s="183">
        <v>10000</v>
      </c>
      <c r="R277" s="188">
        <v>10000000</v>
      </c>
      <c r="S277" t="e">
        <v>#N/A</v>
      </c>
    </row>
    <row r="278" spans="1:19" ht="15" x14ac:dyDescent="0.25">
      <c r="A278" t="s">
        <v>13</v>
      </c>
      <c r="B278" s="156">
        <v>10</v>
      </c>
      <c r="C278" s="156">
        <v>10</v>
      </c>
      <c r="D278" s="156">
        <v>20</v>
      </c>
      <c r="E278" s="157">
        <v>0.6</v>
      </c>
      <c r="F278" s="157">
        <v>0.6</v>
      </c>
      <c r="G278" s="157">
        <v>1800</v>
      </c>
      <c r="H278" s="158" t="s">
        <v>358</v>
      </c>
      <c r="I278" s="157">
        <v>10</v>
      </c>
      <c r="J278" s="181">
        <v>10000000000000</v>
      </c>
      <c r="K278" s="159">
        <v>10000000000000</v>
      </c>
      <c r="L278" s="159">
        <v>20000000000000</v>
      </c>
      <c r="M278" s="157">
        <v>600000000000</v>
      </c>
      <c r="N278" s="157">
        <v>600000000000</v>
      </c>
      <c r="O278" s="157">
        <v>1800000000000000</v>
      </c>
      <c r="P278" s="156">
        <v>10000000000000</v>
      </c>
      <c r="Q278" s="183">
        <v>1000</v>
      </c>
      <c r="R278" s="188">
        <v>1000000</v>
      </c>
      <c r="S278" t="e">
        <v>#N/A</v>
      </c>
    </row>
    <row r="279" spans="1:19" ht="15" x14ac:dyDescent="0.25">
      <c r="A279" t="s">
        <v>436</v>
      </c>
      <c r="B279" s="156">
        <v>7</v>
      </c>
      <c r="C279" s="156">
        <v>10</v>
      </c>
      <c r="D279" s="156">
        <v>7</v>
      </c>
      <c r="E279" s="157">
        <v>40</v>
      </c>
      <c r="F279" s="157">
        <v>0.5</v>
      </c>
      <c r="G279" s="157">
        <v>1500</v>
      </c>
      <c r="H279" s="158" t="s">
        <v>358</v>
      </c>
      <c r="I279" s="157">
        <v>7</v>
      </c>
      <c r="J279" s="181">
        <v>7000000000000</v>
      </c>
      <c r="K279" s="159">
        <v>10000000000000</v>
      </c>
      <c r="L279" s="159">
        <v>7000000000000</v>
      </c>
      <c r="M279" s="157">
        <v>40000000000000</v>
      </c>
      <c r="N279" s="157">
        <v>500000000000</v>
      </c>
      <c r="O279" s="157">
        <v>1500000000000000</v>
      </c>
      <c r="P279" s="156">
        <v>7000000000000</v>
      </c>
      <c r="Q279" s="183">
        <v>1000</v>
      </c>
      <c r="R279" s="188">
        <v>1000000</v>
      </c>
      <c r="S279" t="e">
        <v>#N/A</v>
      </c>
    </row>
    <row r="280" spans="1:19" ht="15" x14ac:dyDescent="0.25">
      <c r="A280" t="s">
        <v>437</v>
      </c>
      <c r="B280" s="156">
        <v>4</v>
      </c>
      <c r="C280" s="156">
        <v>4</v>
      </c>
      <c r="D280" s="156">
        <v>200</v>
      </c>
      <c r="E280" s="157">
        <v>10</v>
      </c>
      <c r="F280" s="157">
        <v>10</v>
      </c>
      <c r="G280" s="157">
        <v>30000</v>
      </c>
      <c r="H280" s="158" t="s">
        <v>358</v>
      </c>
      <c r="I280" s="157">
        <v>4</v>
      </c>
      <c r="J280" s="181">
        <v>4000000000000</v>
      </c>
      <c r="K280" s="159">
        <v>4000000000000</v>
      </c>
      <c r="L280" s="159">
        <v>200000000000000</v>
      </c>
      <c r="M280" s="157">
        <v>10000000000000</v>
      </c>
      <c r="N280" s="157">
        <v>10000000000000</v>
      </c>
      <c r="O280" s="157">
        <v>3E+16</v>
      </c>
      <c r="P280" s="156">
        <v>4000000000000</v>
      </c>
      <c r="Q280" s="183">
        <v>100</v>
      </c>
      <c r="R280" s="188">
        <v>10000000</v>
      </c>
      <c r="S280">
        <v>0.93149999999999999</v>
      </c>
    </row>
    <row r="281" spans="1:19" ht="15" x14ac:dyDescent="0.25">
      <c r="A281" t="s">
        <v>438</v>
      </c>
      <c r="B281" s="156" t="s">
        <v>362</v>
      </c>
      <c r="C281" s="156" t="s">
        <v>362</v>
      </c>
      <c r="D281" s="156" t="s">
        <v>362</v>
      </c>
      <c r="E281" s="157" t="s">
        <v>362</v>
      </c>
      <c r="F281" s="157" t="s">
        <v>362</v>
      </c>
      <c r="G281" s="157" t="s">
        <v>362</v>
      </c>
      <c r="H281" s="161" t="s">
        <v>362</v>
      </c>
      <c r="I281" s="157" t="s">
        <v>362</v>
      </c>
      <c r="J281" s="181" t="s">
        <v>362</v>
      </c>
      <c r="K281" s="159" t="s">
        <v>362</v>
      </c>
      <c r="L281" s="159" t="s">
        <v>362</v>
      </c>
      <c r="M281" s="157" t="s">
        <v>362</v>
      </c>
      <c r="N281" s="157" t="s">
        <v>362</v>
      </c>
      <c r="O281" s="157" t="s">
        <v>362</v>
      </c>
      <c r="P281" s="164" t="s">
        <v>362</v>
      </c>
      <c r="Q281" s="183">
        <v>10</v>
      </c>
      <c r="R281" s="188">
        <v>10000</v>
      </c>
      <c r="S281">
        <v>106220000000</v>
      </c>
    </row>
    <row r="282" spans="1:19" ht="15" x14ac:dyDescent="0.25">
      <c r="A282" t="s">
        <v>131</v>
      </c>
      <c r="B282" s="156">
        <v>500</v>
      </c>
      <c r="C282" s="156" t="s">
        <v>362</v>
      </c>
      <c r="D282" s="156">
        <v>500</v>
      </c>
      <c r="E282" s="157">
        <v>40</v>
      </c>
      <c r="F282" s="157">
        <v>10</v>
      </c>
      <c r="G282" s="157">
        <v>30000</v>
      </c>
      <c r="H282" s="158" t="s">
        <v>358</v>
      </c>
      <c r="I282" s="157">
        <v>500</v>
      </c>
      <c r="J282" s="181">
        <v>500000000000000</v>
      </c>
      <c r="K282" s="159" t="s">
        <v>362</v>
      </c>
      <c r="L282" s="159">
        <v>500000000000000</v>
      </c>
      <c r="M282" s="157">
        <v>40000000000000</v>
      </c>
      <c r="N282" s="157">
        <v>10000000000000</v>
      </c>
      <c r="O282" s="157">
        <v>3E+16</v>
      </c>
      <c r="P282" s="156">
        <v>500000000000000</v>
      </c>
      <c r="Q282" s="183">
        <v>10000</v>
      </c>
      <c r="R282" s="188">
        <v>100000000</v>
      </c>
      <c r="S282">
        <v>88.8</v>
      </c>
    </row>
    <row r="283" spans="1:19" ht="15" x14ac:dyDescent="0.25">
      <c r="A283" t="s">
        <v>132</v>
      </c>
      <c r="B283" s="156">
        <v>2</v>
      </c>
      <c r="C283" s="156">
        <v>2</v>
      </c>
      <c r="D283" s="156">
        <v>40</v>
      </c>
      <c r="E283" s="157">
        <v>9</v>
      </c>
      <c r="F283" s="157">
        <v>0.6</v>
      </c>
      <c r="G283" s="157">
        <v>1800</v>
      </c>
      <c r="H283" s="158" t="s">
        <v>358</v>
      </c>
      <c r="I283" s="157">
        <v>2</v>
      </c>
      <c r="J283" s="181">
        <v>2000000000000</v>
      </c>
      <c r="K283" s="159">
        <v>2000000000000</v>
      </c>
      <c r="L283" s="159">
        <v>40000000000000</v>
      </c>
      <c r="M283" s="157">
        <v>9000000000000</v>
      </c>
      <c r="N283" s="157">
        <v>600000000000</v>
      </c>
      <c r="O283" s="157">
        <v>1800000000000000</v>
      </c>
      <c r="P283" s="156">
        <v>2000000000000</v>
      </c>
      <c r="Q283" s="183">
        <v>100</v>
      </c>
      <c r="R283" s="188">
        <v>1000000</v>
      </c>
      <c r="S283">
        <v>5.3388090349076002E-3</v>
      </c>
    </row>
    <row r="284" spans="1:19" ht="15" x14ac:dyDescent="0.25">
      <c r="A284" t="s">
        <v>97</v>
      </c>
      <c r="B284" s="156">
        <v>0.3</v>
      </c>
      <c r="C284" s="156">
        <v>0.3</v>
      </c>
      <c r="D284" s="156">
        <v>50</v>
      </c>
      <c r="E284" s="157">
        <v>4</v>
      </c>
      <c r="F284" s="157">
        <v>2</v>
      </c>
      <c r="G284" s="157">
        <v>6000</v>
      </c>
      <c r="H284" s="158" t="s">
        <v>358</v>
      </c>
      <c r="I284" s="157">
        <v>0.3</v>
      </c>
      <c r="J284" s="181">
        <v>300000000000</v>
      </c>
      <c r="K284" s="159">
        <v>300000000000</v>
      </c>
      <c r="L284" s="159">
        <v>50000000000000</v>
      </c>
      <c r="M284" s="157">
        <v>4000000000000</v>
      </c>
      <c r="N284" s="157">
        <v>2000000000000</v>
      </c>
      <c r="O284" s="157">
        <v>6000000000000000</v>
      </c>
      <c r="P284" s="156">
        <v>300000000000</v>
      </c>
      <c r="Q284" s="183">
        <v>1000</v>
      </c>
      <c r="R284" s="188">
        <v>10000000</v>
      </c>
      <c r="S284">
        <v>0.31485284052019102</v>
      </c>
    </row>
    <row r="285" spans="1:19" ht="15" x14ac:dyDescent="0.25">
      <c r="A285" t="s">
        <v>439</v>
      </c>
      <c r="B285" s="156">
        <v>0.5</v>
      </c>
      <c r="C285" s="156">
        <v>0.5</v>
      </c>
      <c r="D285" s="156">
        <v>40</v>
      </c>
      <c r="E285" s="157">
        <v>7</v>
      </c>
      <c r="F285" s="157">
        <v>0.4</v>
      </c>
      <c r="G285" s="157">
        <v>1200</v>
      </c>
      <c r="H285" s="158" t="s">
        <v>358</v>
      </c>
      <c r="I285" s="157">
        <v>0.5</v>
      </c>
      <c r="J285" s="181">
        <v>500000000000</v>
      </c>
      <c r="K285" s="159">
        <v>500000000000</v>
      </c>
      <c r="L285" s="159">
        <v>40000000000000</v>
      </c>
      <c r="M285" s="157">
        <v>7000000000000</v>
      </c>
      <c r="N285" s="157">
        <v>400000000000</v>
      </c>
      <c r="O285" s="157">
        <v>1200000000000000</v>
      </c>
      <c r="P285" s="156">
        <v>500000000000</v>
      </c>
      <c r="Q285" s="183">
        <v>100</v>
      </c>
      <c r="R285" s="188">
        <v>1000000</v>
      </c>
      <c r="S285" t="e">
        <v>#N/A</v>
      </c>
    </row>
    <row r="286" spans="1:19" ht="15" x14ac:dyDescent="0.25">
      <c r="A286" t="s">
        <v>440</v>
      </c>
      <c r="B286" s="156">
        <v>70</v>
      </c>
      <c r="C286" s="156">
        <v>70</v>
      </c>
      <c r="D286" s="156">
        <v>100</v>
      </c>
      <c r="E286" s="157">
        <v>40</v>
      </c>
      <c r="F286" s="157">
        <v>30</v>
      </c>
      <c r="G286" s="157">
        <v>90000</v>
      </c>
      <c r="H286" s="158" t="s">
        <v>358</v>
      </c>
      <c r="I286" s="157">
        <v>70</v>
      </c>
      <c r="J286" s="181">
        <v>70000000000000</v>
      </c>
      <c r="K286" s="159">
        <v>70000000000000</v>
      </c>
      <c r="L286" s="159">
        <v>100000000000000</v>
      </c>
      <c r="M286" s="157">
        <v>40000000000000</v>
      </c>
      <c r="N286" s="157">
        <v>30000000000000</v>
      </c>
      <c r="O286" s="157">
        <v>9E+16</v>
      </c>
      <c r="P286" s="156">
        <v>70000000000000</v>
      </c>
      <c r="Q286" s="183">
        <v>1000</v>
      </c>
      <c r="R286" s="188">
        <v>10000000</v>
      </c>
      <c r="S286" t="e">
        <v>#N/A</v>
      </c>
    </row>
    <row r="287" spans="1:19" ht="15" x14ac:dyDescent="0.25">
      <c r="A287" t="s">
        <v>330</v>
      </c>
      <c r="B287" s="156"/>
      <c r="C287" s="156"/>
      <c r="D287" s="156"/>
      <c r="E287" s="157"/>
      <c r="F287" s="157"/>
      <c r="G287" s="157"/>
      <c r="H287" s="158"/>
      <c r="I287" s="157">
        <v>0</v>
      </c>
      <c r="J287" s="181"/>
      <c r="K287" s="159"/>
      <c r="L287" s="159"/>
      <c r="M287" s="157"/>
      <c r="N287" s="157"/>
      <c r="O287" s="157"/>
      <c r="P287" s="156">
        <v>0</v>
      </c>
      <c r="Q287" s="183">
        <v>100000</v>
      </c>
      <c r="R287" s="188">
        <v>10000000</v>
      </c>
      <c r="S287">
        <v>3.0820000000000001E-3</v>
      </c>
    </row>
    <row r="288" spans="1:19" ht="15" x14ac:dyDescent="0.25">
      <c r="A288" t="s">
        <v>441</v>
      </c>
      <c r="B288" s="156">
        <v>70</v>
      </c>
      <c r="C288" s="156">
        <v>100</v>
      </c>
      <c r="D288" s="156">
        <v>70</v>
      </c>
      <c r="E288" s="157">
        <v>40</v>
      </c>
      <c r="F288" s="157">
        <v>0.9</v>
      </c>
      <c r="G288" s="157">
        <v>2700</v>
      </c>
      <c r="H288" s="158" t="s">
        <v>358</v>
      </c>
      <c r="I288" s="157">
        <v>70</v>
      </c>
      <c r="J288" s="181">
        <v>70000000000000</v>
      </c>
      <c r="K288" s="159">
        <v>100000000000000</v>
      </c>
      <c r="L288" s="159">
        <v>70000000000000</v>
      </c>
      <c r="M288" s="157">
        <v>40000000000000</v>
      </c>
      <c r="N288" s="157">
        <v>900000000000</v>
      </c>
      <c r="O288" s="157">
        <v>2700000000000000</v>
      </c>
      <c r="P288" s="156">
        <v>70000000000000</v>
      </c>
      <c r="Q288" s="183">
        <v>1000</v>
      </c>
      <c r="R288" s="188">
        <v>10000000</v>
      </c>
      <c r="S288" t="e">
        <v>#N/A</v>
      </c>
    </row>
    <row r="289" spans="1:19" ht="15" x14ac:dyDescent="0.25">
      <c r="A289" t="s">
        <v>442</v>
      </c>
      <c r="B289" s="156">
        <v>7</v>
      </c>
      <c r="C289" s="156">
        <v>7</v>
      </c>
      <c r="D289" s="156">
        <v>20</v>
      </c>
      <c r="E289" s="157">
        <v>0.8</v>
      </c>
      <c r="F289" s="157">
        <v>0.6</v>
      </c>
      <c r="G289" s="157">
        <v>1800</v>
      </c>
      <c r="H289" s="158" t="s">
        <v>358</v>
      </c>
      <c r="I289" s="157">
        <v>7</v>
      </c>
      <c r="J289" s="181">
        <v>7000000000000</v>
      </c>
      <c r="K289" s="159">
        <v>7000000000000</v>
      </c>
      <c r="L289" s="159">
        <v>20000000000000</v>
      </c>
      <c r="M289" s="157">
        <v>800000000000</v>
      </c>
      <c r="N289" s="157">
        <v>600000000000</v>
      </c>
      <c r="O289" s="157">
        <v>1800000000000000</v>
      </c>
      <c r="P289" s="156">
        <v>7000000000000</v>
      </c>
      <c r="Q289" s="183">
        <v>1000</v>
      </c>
      <c r="R289" s="188">
        <v>1000000</v>
      </c>
      <c r="S289" t="e">
        <v>#N/A</v>
      </c>
    </row>
    <row r="290" spans="1:19" ht="15" x14ac:dyDescent="0.25">
      <c r="A290" t="s">
        <v>98</v>
      </c>
      <c r="B290" s="156">
        <v>0.1</v>
      </c>
      <c r="C290" s="156">
        <v>0.1</v>
      </c>
      <c r="D290" s="156">
        <v>8</v>
      </c>
      <c r="E290" s="157">
        <v>0.4</v>
      </c>
      <c r="F290" s="157">
        <v>0.4</v>
      </c>
      <c r="G290" s="157">
        <v>1200</v>
      </c>
      <c r="H290" s="158" t="s">
        <v>358</v>
      </c>
      <c r="I290" s="157">
        <v>0.1</v>
      </c>
      <c r="J290" s="181">
        <v>100000000000</v>
      </c>
      <c r="K290" s="159">
        <v>100000000000</v>
      </c>
      <c r="L290" s="159">
        <v>8000000000000</v>
      </c>
      <c r="M290" s="157">
        <v>400000000000</v>
      </c>
      <c r="N290" s="157">
        <v>400000000000</v>
      </c>
      <c r="O290" s="157">
        <v>1200000000000000</v>
      </c>
      <c r="P290" s="156">
        <v>100000000000</v>
      </c>
      <c r="Q290" s="183">
        <v>100</v>
      </c>
      <c r="R290" s="188">
        <v>100000</v>
      </c>
      <c r="S290" t="e">
        <v>#N/A</v>
      </c>
    </row>
    <row r="291" spans="1:19" ht="15" x14ac:dyDescent="0.25">
      <c r="A291" t="s">
        <v>443</v>
      </c>
      <c r="B291" s="156">
        <v>0.03</v>
      </c>
      <c r="C291" s="156">
        <v>0.03</v>
      </c>
      <c r="D291" s="156">
        <v>7</v>
      </c>
      <c r="E291" s="157">
        <v>0.6</v>
      </c>
      <c r="F291" s="157">
        <v>0.4</v>
      </c>
      <c r="G291" s="157">
        <v>1200</v>
      </c>
      <c r="H291" s="158" t="s">
        <v>358</v>
      </c>
      <c r="I291" s="157">
        <v>0.03</v>
      </c>
      <c r="J291" s="181">
        <v>30000000000</v>
      </c>
      <c r="K291" s="159">
        <v>30000000000</v>
      </c>
      <c r="L291" s="159">
        <v>7000000000000</v>
      </c>
      <c r="M291" s="157">
        <v>600000000000</v>
      </c>
      <c r="N291" s="157">
        <v>400000000000</v>
      </c>
      <c r="O291" s="157">
        <v>1200000000000000</v>
      </c>
      <c r="P291" s="156">
        <v>30000000000</v>
      </c>
      <c r="Q291" s="183">
        <v>10</v>
      </c>
      <c r="R291" s="188">
        <v>100000</v>
      </c>
      <c r="S291" t="e">
        <v>#N/A</v>
      </c>
    </row>
    <row r="292" spans="1:19" ht="15" x14ac:dyDescent="0.25">
      <c r="A292" t="s">
        <v>444</v>
      </c>
      <c r="B292" s="156">
        <v>0.06</v>
      </c>
      <c r="C292" s="156">
        <v>0.06</v>
      </c>
      <c r="D292" s="156">
        <v>5</v>
      </c>
      <c r="E292" s="157">
        <v>0.2</v>
      </c>
      <c r="F292" s="157">
        <v>0.2</v>
      </c>
      <c r="G292" s="157">
        <v>600</v>
      </c>
      <c r="H292" s="158" t="s">
        <v>358</v>
      </c>
      <c r="I292" s="157">
        <v>0.06</v>
      </c>
      <c r="J292" s="181">
        <v>60000000000</v>
      </c>
      <c r="K292" s="159">
        <v>60000000000</v>
      </c>
      <c r="L292" s="159">
        <v>5000000000000</v>
      </c>
      <c r="M292" s="157">
        <v>200000000000</v>
      </c>
      <c r="N292" s="157">
        <v>200000000000</v>
      </c>
      <c r="O292" s="157">
        <v>600000000000000</v>
      </c>
      <c r="P292" s="156">
        <v>60000000000</v>
      </c>
      <c r="Q292" s="183">
        <v>10</v>
      </c>
      <c r="R292" s="188">
        <v>100000</v>
      </c>
      <c r="S292" t="e">
        <v>#N/A</v>
      </c>
    </row>
    <row r="293" spans="1:19" ht="15" x14ac:dyDescent="0.25">
      <c r="A293" t="s">
        <v>60</v>
      </c>
      <c r="B293" s="156">
        <v>0.1</v>
      </c>
      <c r="C293" s="156">
        <v>0.1</v>
      </c>
      <c r="D293" s="156">
        <v>70</v>
      </c>
      <c r="E293" s="157">
        <v>2</v>
      </c>
      <c r="F293" s="157">
        <v>2</v>
      </c>
      <c r="G293" s="157">
        <v>6000</v>
      </c>
      <c r="H293" s="158" t="s">
        <v>358</v>
      </c>
      <c r="I293" s="157">
        <v>0.1</v>
      </c>
      <c r="J293" s="181">
        <v>100000000000</v>
      </c>
      <c r="K293" s="159">
        <v>100000000000</v>
      </c>
      <c r="L293" s="159">
        <v>70000000000000</v>
      </c>
      <c r="M293" s="157">
        <v>2000000000000</v>
      </c>
      <c r="N293" s="157">
        <v>2000000000000</v>
      </c>
      <c r="O293" s="157">
        <v>6000000000000000</v>
      </c>
      <c r="P293" s="156">
        <v>100000000000</v>
      </c>
      <c r="Q293" s="183">
        <v>100</v>
      </c>
      <c r="R293" s="188">
        <v>1000000</v>
      </c>
      <c r="S293">
        <v>0.17741273100616001</v>
      </c>
    </row>
    <row r="294" spans="1:19" ht="15" x14ac:dyDescent="0.25">
      <c r="A294" t="s">
        <v>61</v>
      </c>
      <c r="B294" s="156">
        <v>0.1</v>
      </c>
      <c r="C294" s="156">
        <v>0.1</v>
      </c>
      <c r="D294" s="156">
        <v>300</v>
      </c>
      <c r="E294" s="157">
        <v>5</v>
      </c>
      <c r="F294" s="157">
        <v>5</v>
      </c>
      <c r="G294" s="157">
        <v>15000</v>
      </c>
      <c r="H294" s="158" t="s">
        <v>358</v>
      </c>
      <c r="I294" s="157">
        <v>0.1</v>
      </c>
      <c r="J294" s="181">
        <v>100000000000</v>
      </c>
      <c r="K294" s="159">
        <v>100000000000</v>
      </c>
      <c r="L294" s="159">
        <v>300000000000000</v>
      </c>
      <c r="M294" s="157">
        <v>5000000000000</v>
      </c>
      <c r="N294" s="157">
        <v>5000000000000</v>
      </c>
      <c r="O294" s="157">
        <v>1.5E+16</v>
      </c>
      <c r="P294" s="156">
        <v>100000000000</v>
      </c>
      <c r="Q294" s="183">
        <v>100</v>
      </c>
      <c r="R294" s="188">
        <v>10000000</v>
      </c>
      <c r="S294" t="e">
        <v>#N/A</v>
      </c>
    </row>
    <row r="295" spans="1:19" ht="15" x14ac:dyDescent="0.25">
      <c r="A295" t="s">
        <v>62</v>
      </c>
      <c r="B295" s="156">
        <v>0.2</v>
      </c>
      <c r="C295" s="156">
        <v>0.2</v>
      </c>
      <c r="D295" s="156">
        <v>90</v>
      </c>
      <c r="E295" s="157">
        <v>3</v>
      </c>
      <c r="F295" s="157">
        <v>3</v>
      </c>
      <c r="G295" s="157">
        <v>9000</v>
      </c>
      <c r="H295" s="158" t="s">
        <v>358</v>
      </c>
      <c r="I295" s="157">
        <v>0.2</v>
      </c>
      <c r="J295" s="181">
        <v>200000000000</v>
      </c>
      <c r="K295" s="159">
        <v>200000000000</v>
      </c>
      <c r="L295" s="159">
        <v>90000000000000</v>
      </c>
      <c r="M295" s="157">
        <v>3000000000000</v>
      </c>
      <c r="N295" s="157">
        <v>3000000000000</v>
      </c>
      <c r="O295" s="157">
        <v>9000000000000000</v>
      </c>
      <c r="P295" s="156">
        <v>200000000000</v>
      </c>
      <c r="Q295" s="183">
        <v>100</v>
      </c>
      <c r="R295" s="188">
        <v>1000000</v>
      </c>
      <c r="S295" t="e">
        <v>#N/A</v>
      </c>
    </row>
    <row r="296" spans="1:19" ht="15" x14ac:dyDescent="0.25">
      <c r="A296" t="s">
        <v>63</v>
      </c>
      <c r="B296" s="156">
        <v>20</v>
      </c>
      <c r="C296" s="156">
        <v>20</v>
      </c>
      <c r="D296" s="156">
        <v>20</v>
      </c>
      <c r="E296" s="157">
        <v>0.6</v>
      </c>
      <c r="F296" s="157">
        <v>0.6</v>
      </c>
      <c r="G296" s="157">
        <v>1800</v>
      </c>
      <c r="H296" s="158" t="s">
        <v>358</v>
      </c>
      <c r="I296" s="157">
        <v>20</v>
      </c>
      <c r="J296" s="181">
        <v>20000000000000</v>
      </c>
      <c r="K296" s="159">
        <v>20000000000000</v>
      </c>
      <c r="L296" s="159">
        <v>20000000000000</v>
      </c>
      <c r="M296" s="157">
        <v>600000000000</v>
      </c>
      <c r="N296" s="157">
        <v>600000000000</v>
      </c>
      <c r="O296" s="157">
        <v>1800000000000000</v>
      </c>
      <c r="P296" s="156">
        <v>20000000000000</v>
      </c>
      <c r="Q296" s="183">
        <v>1000</v>
      </c>
      <c r="R296" s="188">
        <v>1000000</v>
      </c>
      <c r="S296">
        <v>0.13826146475017101</v>
      </c>
    </row>
    <row r="297" spans="1:19" ht="15" x14ac:dyDescent="0.25">
      <c r="A297" t="s">
        <v>232</v>
      </c>
      <c r="B297" s="156">
        <v>1</v>
      </c>
      <c r="C297" s="156">
        <v>4</v>
      </c>
      <c r="D297" s="156">
        <v>1</v>
      </c>
      <c r="E297" s="157">
        <v>0.3</v>
      </c>
      <c r="F297" s="157">
        <v>0.3</v>
      </c>
      <c r="G297" s="160">
        <v>10</v>
      </c>
      <c r="H297" s="158" t="s">
        <v>361</v>
      </c>
      <c r="I297" s="163">
        <v>1</v>
      </c>
      <c r="J297" s="181">
        <v>1000000000000</v>
      </c>
      <c r="K297" s="159">
        <v>4000000000000</v>
      </c>
      <c r="L297" s="159">
        <v>1000000000000</v>
      </c>
      <c r="M297" s="157">
        <v>300000000000</v>
      </c>
      <c r="N297" s="157">
        <v>300000000000</v>
      </c>
      <c r="O297" s="157">
        <v>10000000000000</v>
      </c>
      <c r="P297" s="156">
        <v>1000000000000</v>
      </c>
      <c r="Q297" s="183">
        <v>100</v>
      </c>
      <c r="R297" s="188">
        <v>10000</v>
      </c>
      <c r="S297">
        <v>29.1</v>
      </c>
    </row>
    <row r="298" spans="1:19" ht="15" x14ac:dyDescent="0.25">
      <c r="A298" t="s">
        <v>64</v>
      </c>
      <c r="B298" s="156">
        <v>0.06</v>
      </c>
      <c r="C298" s="156">
        <v>0.06</v>
      </c>
      <c r="D298" s="156">
        <v>20</v>
      </c>
      <c r="E298" s="157">
        <v>0.3</v>
      </c>
      <c r="F298" s="157">
        <v>0.3</v>
      </c>
      <c r="G298" s="157">
        <v>900</v>
      </c>
      <c r="H298" s="158" t="s">
        <v>358</v>
      </c>
      <c r="I298" s="157">
        <v>0.06</v>
      </c>
      <c r="J298" s="181">
        <v>60000000000</v>
      </c>
      <c r="K298" s="159">
        <v>60000000000</v>
      </c>
      <c r="L298" s="159">
        <v>20000000000000</v>
      </c>
      <c r="M298" s="157">
        <v>300000000000</v>
      </c>
      <c r="N298" s="157">
        <v>300000000000</v>
      </c>
      <c r="O298" s="157">
        <v>900000000000000</v>
      </c>
      <c r="P298" s="156">
        <v>60000000000</v>
      </c>
      <c r="Q298" s="183">
        <v>10</v>
      </c>
      <c r="R298" s="188">
        <v>100000</v>
      </c>
      <c r="S298" t="e">
        <v>#N/A</v>
      </c>
    </row>
    <row r="299" spans="1:19" ht="15" x14ac:dyDescent="0.25">
      <c r="A299" t="s">
        <v>65</v>
      </c>
      <c r="B299" s="156">
        <v>0.04</v>
      </c>
      <c r="C299" s="156">
        <v>0.04</v>
      </c>
      <c r="D299" s="156">
        <v>10</v>
      </c>
      <c r="E299" s="157">
        <v>1</v>
      </c>
      <c r="F299" s="157">
        <v>0.3</v>
      </c>
      <c r="G299" s="157">
        <v>900</v>
      </c>
      <c r="H299" s="158" t="s">
        <v>358</v>
      </c>
      <c r="I299" s="157">
        <v>0.04</v>
      </c>
      <c r="J299" s="181">
        <v>40000000000</v>
      </c>
      <c r="K299" s="159">
        <v>40000000000</v>
      </c>
      <c r="L299" s="159">
        <v>10000000000000</v>
      </c>
      <c r="M299" s="157">
        <v>1000000000000</v>
      </c>
      <c r="N299" s="157">
        <v>300000000000</v>
      </c>
      <c r="O299" s="157">
        <v>900000000000000</v>
      </c>
      <c r="P299" s="156">
        <v>40000000000</v>
      </c>
      <c r="Q299" s="183">
        <v>10</v>
      </c>
      <c r="R299" s="188">
        <v>1000000</v>
      </c>
      <c r="S299">
        <v>3.0914898471369999E-4</v>
      </c>
    </row>
    <row r="300" spans="1:19" ht="15" x14ac:dyDescent="0.25">
      <c r="A300" t="s">
        <v>445</v>
      </c>
      <c r="B300" s="156">
        <v>7.0000000000000007E-2</v>
      </c>
      <c r="C300" s="156">
        <v>7.0000000000000007E-2</v>
      </c>
      <c r="D300" s="156">
        <v>4000</v>
      </c>
      <c r="E300" s="157">
        <v>1</v>
      </c>
      <c r="F300" s="157">
        <v>0.8</v>
      </c>
      <c r="G300" s="157">
        <v>2400</v>
      </c>
      <c r="H300" s="158" t="s">
        <v>358</v>
      </c>
      <c r="I300" s="157">
        <v>7.0000000000000007E-2</v>
      </c>
      <c r="J300" s="181">
        <v>70000000000</v>
      </c>
      <c r="K300" s="159">
        <v>70000000000</v>
      </c>
      <c r="L300" s="159">
        <v>4000000000000000</v>
      </c>
      <c r="M300" s="157">
        <v>1000000000000</v>
      </c>
      <c r="N300" s="157">
        <v>800000000000</v>
      </c>
      <c r="O300" s="157">
        <v>2400000000000000</v>
      </c>
      <c r="P300" s="156">
        <v>70000000000</v>
      </c>
      <c r="Q300" s="183">
        <v>10</v>
      </c>
      <c r="R300" s="188">
        <v>1000000</v>
      </c>
      <c r="S300" t="e">
        <v>#N/A</v>
      </c>
    </row>
    <row r="301" spans="1:19" ht="15" x14ac:dyDescent="0.25">
      <c r="A301" t="s">
        <v>446</v>
      </c>
      <c r="B301" s="156">
        <v>6</v>
      </c>
      <c r="C301" s="156">
        <v>6</v>
      </c>
      <c r="D301" s="156">
        <v>600</v>
      </c>
      <c r="E301" s="157">
        <v>30</v>
      </c>
      <c r="F301" s="157">
        <v>30</v>
      </c>
      <c r="G301" s="157">
        <v>90000</v>
      </c>
      <c r="H301" s="158" t="s">
        <v>358</v>
      </c>
      <c r="I301" s="157">
        <v>6</v>
      </c>
      <c r="J301" s="181">
        <v>6000000000000</v>
      </c>
      <c r="K301" s="159">
        <v>6000000000000</v>
      </c>
      <c r="L301" s="159">
        <v>600000000000000</v>
      </c>
      <c r="M301" s="157">
        <v>30000000000000</v>
      </c>
      <c r="N301" s="157">
        <v>30000000000000</v>
      </c>
      <c r="O301" s="157">
        <v>9E+16</v>
      </c>
      <c r="P301" s="156">
        <v>6000000000000</v>
      </c>
      <c r="Q301" s="183">
        <v>1000</v>
      </c>
      <c r="R301" s="188">
        <v>10000000</v>
      </c>
      <c r="S301" t="e">
        <v>#N/A</v>
      </c>
    </row>
    <row r="302" spans="1:19" ht="15" x14ac:dyDescent="0.25">
      <c r="A302" t="s">
        <v>150</v>
      </c>
      <c r="B302" s="156">
        <v>0.06</v>
      </c>
      <c r="C302" s="156">
        <v>0.06</v>
      </c>
      <c r="D302" s="156">
        <v>30</v>
      </c>
      <c r="E302" s="157">
        <v>0.9</v>
      </c>
      <c r="F302" s="157">
        <v>0.5</v>
      </c>
      <c r="G302" s="157">
        <v>1500</v>
      </c>
      <c r="H302" s="158" t="s">
        <v>358</v>
      </c>
      <c r="I302" s="157">
        <v>0.06</v>
      </c>
      <c r="J302" s="181">
        <v>60000000000</v>
      </c>
      <c r="K302" s="159">
        <v>60000000000</v>
      </c>
      <c r="L302" s="159">
        <v>30000000000000</v>
      </c>
      <c r="M302" s="157">
        <v>900000000000</v>
      </c>
      <c r="N302" s="157">
        <v>500000000000</v>
      </c>
      <c r="O302" s="157">
        <v>1500000000000000</v>
      </c>
      <c r="P302" s="156">
        <v>60000000000</v>
      </c>
      <c r="Q302" s="183">
        <v>10</v>
      </c>
      <c r="R302" s="188">
        <v>10000</v>
      </c>
      <c r="S302">
        <v>0.31485284052019102</v>
      </c>
    </row>
    <row r="303" spans="1:19" ht="15" x14ac:dyDescent="0.25">
      <c r="A303" t="s">
        <v>447</v>
      </c>
      <c r="B303" s="156">
        <v>100</v>
      </c>
      <c r="C303" s="156">
        <v>100</v>
      </c>
      <c r="D303" s="156">
        <v>1000</v>
      </c>
      <c r="E303" s="157">
        <v>40</v>
      </c>
      <c r="F303" s="157">
        <v>40</v>
      </c>
      <c r="G303" s="157">
        <v>120000</v>
      </c>
      <c r="H303" s="158" t="s">
        <v>358</v>
      </c>
      <c r="I303" s="157">
        <v>100</v>
      </c>
      <c r="J303" s="181">
        <v>100000000000000</v>
      </c>
      <c r="K303" s="159">
        <v>100000000000000</v>
      </c>
      <c r="L303" s="159">
        <v>1000000000000000</v>
      </c>
      <c r="M303" s="157">
        <v>40000000000000</v>
      </c>
      <c r="N303" s="157">
        <v>40000000000000</v>
      </c>
      <c r="O303" s="157">
        <v>1.2E+17</v>
      </c>
      <c r="P303" s="156">
        <v>100000000000000</v>
      </c>
      <c r="Q303" s="183">
        <v>10000</v>
      </c>
      <c r="R303" s="188">
        <v>10000000</v>
      </c>
      <c r="S303" t="e">
        <v>#N/A</v>
      </c>
    </row>
    <row r="304" spans="1:19" ht="15" x14ac:dyDescent="0.25">
      <c r="A304" t="s">
        <v>448</v>
      </c>
      <c r="B304" s="156">
        <v>0.09</v>
      </c>
      <c r="C304" s="156">
        <v>0.09</v>
      </c>
      <c r="D304" s="156">
        <v>50</v>
      </c>
      <c r="E304" s="157">
        <v>1</v>
      </c>
      <c r="F304" s="157">
        <v>1</v>
      </c>
      <c r="G304" s="157">
        <v>3000</v>
      </c>
      <c r="H304" s="158" t="s">
        <v>358</v>
      </c>
      <c r="I304" s="157">
        <v>0.09</v>
      </c>
      <c r="J304" s="181">
        <v>90000000000</v>
      </c>
      <c r="K304" s="159">
        <v>90000000000</v>
      </c>
      <c r="L304" s="159">
        <v>50000000000000</v>
      </c>
      <c r="M304" s="157">
        <v>1000000000000</v>
      </c>
      <c r="N304" s="157">
        <v>1000000000000</v>
      </c>
      <c r="O304" s="157">
        <v>3000000000000000</v>
      </c>
      <c r="P304" s="156">
        <v>90000000000</v>
      </c>
      <c r="Q304" s="183">
        <v>10</v>
      </c>
      <c r="R304" s="188">
        <v>1000000</v>
      </c>
      <c r="S304" t="e">
        <v>#N/A</v>
      </c>
    </row>
    <row r="305" spans="1:19" ht="15" x14ac:dyDescent="0.25">
      <c r="A305" t="s">
        <v>139</v>
      </c>
      <c r="B305" s="156">
        <v>0.06</v>
      </c>
      <c r="C305" s="156">
        <v>0.06</v>
      </c>
      <c r="D305" s="156">
        <v>30</v>
      </c>
      <c r="E305" s="157">
        <v>1</v>
      </c>
      <c r="F305" s="157">
        <v>0.6</v>
      </c>
      <c r="G305" s="157">
        <v>1800</v>
      </c>
      <c r="H305" s="158" t="s">
        <v>358</v>
      </c>
      <c r="I305" s="157">
        <v>0.06</v>
      </c>
      <c r="J305" s="181">
        <v>60000000000</v>
      </c>
      <c r="K305" s="159">
        <v>60000000000</v>
      </c>
      <c r="L305" s="159">
        <v>30000000000000</v>
      </c>
      <c r="M305" s="157">
        <v>1000000000000</v>
      </c>
      <c r="N305" s="157">
        <v>600000000000</v>
      </c>
      <c r="O305" s="157">
        <v>1800000000000000</v>
      </c>
      <c r="P305" s="156">
        <v>60000000000</v>
      </c>
      <c r="Q305" s="183">
        <v>10</v>
      </c>
      <c r="R305" s="188">
        <v>1000000</v>
      </c>
      <c r="S305" t="e">
        <v>#N/A</v>
      </c>
    </row>
    <row r="306" spans="1:19" ht="15" x14ac:dyDescent="0.25">
      <c r="A306" t="s">
        <v>449</v>
      </c>
      <c r="B306" s="156">
        <v>0.1</v>
      </c>
      <c r="C306" s="156">
        <v>0.1</v>
      </c>
      <c r="D306" s="156">
        <v>60</v>
      </c>
      <c r="E306" s="157">
        <v>2</v>
      </c>
      <c r="F306" s="157">
        <v>2</v>
      </c>
      <c r="G306" s="157">
        <v>6000</v>
      </c>
      <c r="H306" s="158" t="s">
        <v>358</v>
      </c>
      <c r="I306" s="157">
        <v>0.1</v>
      </c>
      <c r="J306" s="181">
        <v>100000000000</v>
      </c>
      <c r="K306" s="159">
        <v>100000000000</v>
      </c>
      <c r="L306" s="159">
        <v>60000000000000</v>
      </c>
      <c r="M306" s="157">
        <v>2000000000000</v>
      </c>
      <c r="N306" s="157">
        <v>2000000000000</v>
      </c>
      <c r="O306" s="157">
        <v>6000000000000000</v>
      </c>
      <c r="P306" s="156">
        <v>100000000000</v>
      </c>
      <c r="Q306" s="183">
        <v>10</v>
      </c>
      <c r="R306" s="188">
        <v>1000000</v>
      </c>
      <c r="S306" t="e">
        <v>#N/A</v>
      </c>
    </row>
    <row r="307" spans="1:19" ht="15" x14ac:dyDescent="0.25">
      <c r="A307" t="s">
        <v>78</v>
      </c>
      <c r="B307" s="156">
        <v>0.03</v>
      </c>
      <c r="C307" s="156">
        <v>0.03</v>
      </c>
      <c r="D307" s="156">
        <v>30</v>
      </c>
      <c r="E307" s="157">
        <v>0.4</v>
      </c>
      <c r="F307" s="157">
        <v>0.4</v>
      </c>
      <c r="G307" s="157">
        <v>1200</v>
      </c>
      <c r="H307" s="158" t="s">
        <v>358</v>
      </c>
      <c r="I307" s="157">
        <v>0.03</v>
      </c>
      <c r="J307" s="181">
        <v>30000000000</v>
      </c>
      <c r="K307" s="159">
        <v>30000000000</v>
      </c>
      <c r="L307" s="159">
        <v>30000000000000</v>
      </c>
      <c r="M307" s="157">
        <v>400000000000</v>
      </c>
      <c r="N307" s="157">
        <v>400000000000</v>
      </c>
      <c r="O307" s="157">
        <v>1200000000000000</v>
      </c>
      <c r="P307" s="156">
        <v>30000000000</v>
      </c>
      <c r="Q307" s="183">
        <v>10</v>
      </c>
      <c r="R307" s="188">
        <v>1000000</v>
      </c>
      <c r="S307" t="e">
        <v>#N/A</v>
      </c>
    </row>
    <row r="308" spans="1:19" ht="15" x14ac:dyDescent="0.25">
      <c r="A308" t="s">
        <v>79</v>
      </c>
      <c r="B308" s="156">
        <v>0.03</v>
      </c>
      <c r="C308" s="156">
        <v>0.03</v>
      </c>
      <c r="D308" s="156">
        <v>200</v>
      </c>
      <c r="E308" s="157">
        <v>0.4</v>
      </c>
      <c r="F308" s="157">
        <v>0.4</v>
      </c>
      <c r="G308" s="157">
        <v>1200</v>
      </c>
      <c r="H308" s="158" t="s">
        <v>358</v>
      </c>
      <c r="I308" s="157">
        <v>0.03</v>
      </c>
      <c r="J308" s="181">
        <v>30000000000</v>
      </c>
      <c r="K308" s="159">
        <v>30000000000</v>
      </c>
      <c r="L308" s="159">
        <v>200000000000000</v>
      </c>
      <c r="M308" s="157">
        <v>400000000000</v>
      </c>
      <c r="N308" s="157">
        <v>400000000000</v>
      </c>
      <c r="O308" s="157">
        <v>1200000000000000</v>
      </c>
      <c r="P308" s="156">
        <v>30000000000</v>
      </c>
      <c r="Q308" s="183">
        <v>1000</v>
      </c>
      <c r="R308" s="188">
        <v>10000000</v>
      </c>
      <c r="S308" t="e">
        <v>#N/A</v>
      </c>
    </row>
    <row r="309" spans="1:19" ht="15" x14ac:dyDescent="0.25">
      <c r="A309" t="s">
        <v>80</v>
      </c>
      <c r="B309" s="156" t="s">
        <v>362</v>
      </c>
      <c r="C309" s="156" t="s">
        <v>362</v>
      </c>
      <c r="D309" s="156" t="s">
        <v>362</v>
      </c>
      <c r="E309" s="157" t="s">
        <v>362</v>
      </c>
      <c r="F309" s="157" t="s">
        <v>362</v>
      </c>
      <c r="G309" s="157" t="s">
        <v>362</v>
      </c>
      <c r="H309" s="161" t="s">
        <v>362</v>
      </c>
      <c r="I309" s="157" t="s">
        <v>362</v>
      </c>
      <c r="J309" s="181" t="s">
        <v>362</v>
      </c>
      <c r="K309" s="159" t="s">
        <v>362</v>
      </c>
      <c r="L309" s="159" t="s">
        <v>362</v>
      </c>
      <c r="M309" s="157" t="s">
        <v>362</v>
      </c>
      <c r="N309" s="157" t="s">
        <v>362</v>
      </c>
      <c r="O309" s="157" t="s">
        <v>362</v>
      </c>
      <c r="P309" s="164" t="s">
        <v>362</v>
      </c>
      <c r="Q309" s="183">
        <v>1000</v>
      </c>
      <c r="R309" s="188">
        <v>100000000</v>
      </c>
      <c r="S309" t="e">
        <v>#N/A</v>
      </c>
    </row>
    <row r="310" spans="1:19" ht="15" x14ac:dyDescent="0.25">
      <c r="A310" t="s">
        <v>81</v>
      </c>
      <c r="B310" s="156">
        <v>40</v>
      </c>
      <c r="C310" s="156">
        <v>200</v>
      </c>
      <c r="D310" s="156">
        <v>40</v>
      </c>
      <c r="E310" s="157">
        <v>40</v>
      </c>
      <c r="F310" s="157">
        <v>1</v>
      </c>
      <c r="G310" s="157">
        <v>3000</v>
      </c>
      <c r="H310" s="158" t="s">
        <v>358</v>
      </c>
      <c r="I310" s="157">
        <v>40</v>
      </c>
      <c r="J310" s="181">
        <v>40000000000000</v>
      </c>
      <c r="K310" s="159">
        <v>200000000000000</v>
      </c>
      <c r="L310" s="159">
        <v>40000000000000</v>
      </c>
      <c r="M310" s="157">
        <v>40000000000000</v>
      </c>
      <c r="N310" s="157">
        <v>1000000000000</v>
      </c>
      <c r="O310" s="157">
        <v>3000000000000000</v>
      </c>
      <c r="P310" s="156">
        <v>40000000000000</v>
      </c>
      <c r="Q310" s="183">
        <v>1000</v>
      </c>
      <c r="R310" s="188">
        <v>10000000</v>
      </c>
      <c r="S310" t="e">
        <v>#N/A</v>
      </c>
    </row>
    <row r="311" spans="1:19" ht="15" x14ac:dyDescent="0.25">
      <c r="A311" t="s">
        <v>450</v>
      </c>
      <c r="B311" s="156">
        <v>0.05</v>
      </c>
      <c r="C311" s="156">
        <v>0.05</v>
      </c>
      <c r="D311" s="156">
        <v>10</v>
      </c>
      <c r="E311" s="157">
        <v>0.8</v>
      </c>
      <c r="F311" s="157">
        <v>0.7</v>
      </c>
      <c r="G311" s="157">
        <v>2100</v>
      </c>
      <c r="H311" s="158" t="s">
        <v>358</v>
      </c>
      <c r="I311" s="157">
        <v>0.05</v>
      </c>
      <c r="J311" s="181">
        <v>50000000000</v>
      </c>
      <c r="K311" s="159">
        <v>50000000000</v>
      </c>
      <c r="L311" s="159">
        <v>10000000000000</v>
      </c>
      <c r="M311" s="157">
        <v>800000000000</v>
      </c>
      <c r="N311" s="157">
        <v>700000000000</v>
      </c>
      <c r="O311" s="157">
        <v>2100000000000000</v>
      </c>
      <c r="P311" s="156">
        <v>50000000000</v>
      </c>
      <c r="Q311" s="183">
        <v>10</v>
      </c>
      <c r="R311" s="188">
        <v>1000000</v>
      </c>
      <c r="S311" t="e">
        <v>#N/A</v>
      </c>
    </row>
    <row r="312" spans="1:19" ht="15" x14ac:dyDescent="0.25">
      <c r="A312" t="s">
        <v>82</v>
      </c>
      <c r="B312" s="156">
        <v>30</v>
      </c>
      <c r="C312" s="156" t="s">
        <v>362</v>
      </c>
      <c r="D312" s="156">
        <v>30</v>
      </c>
      <c r="E312" s="157">
        <v>40</v>
      </c>
      <c r="F312" s="157">
        <v>0.9</v>
      </c>
      <c r="G312" s="157">
        <v>2700</v>
      </c>
      <c r="H312" s="158" t="s">
        <v>358</v>
      </c>
      <c r="I312" s="157">
        <v>30</v>
      </c>
      <c r="J312" s="181">
        <v>30000000000000</v>
      </c>
      <c r="K312" s="159" t="s">
        <v>362</v>
      </c>
      <c r="L312" s="159">
        <v>30000000000000</v>
      </c>
      <c r="M312" s="157">
        <v>40000000000000</v>
      </c>
      <c r="N312" s="157">
        <v>900000000000</v>
      </c>
      <c r="O312" s="157">
        <v>2700000000000000</v>
      </c>
      <c r="P312" s="156">
        <v>30000000000000</v>
      </c>
      <c r="Q312" s="183">
        <v>10000</v>
      </c>
      <c r="R312" s="188">
        <v>10000000</v>
      </c>
      <c r="S312">
        <v>213000</v>
      </c>
    </row>
    <row r="313" spans="1:19" ht="15" x14ac:dyDescent="0.25">
      <c r="A313" t="s">
        <v>83</v>
      </c>
      <c r="B313" s="156">
        <v>0.7</v>
      </c>
      <c r="C313" s="156">
        <v>0.7</v>
      </c>
      <c r="D313" s="156">
        <v>700</v>
      </c>
      <c r="E313" s="157">
        <v>10</v>
      </c>
      <c r="F313" s="157">
        <v>4</v>
      </c>
      <c r="G313" s="157">
        <v>12000</v>
      </c>
      <c r="H313" s="158" t="s">
        <v>358</v>
      </c>
      <c r="I313" s="157">
        <v>0.7</v>
      </c>
      <c r="J313" s="181">
        <v>700000000000</v>
      </c>
      <c r="K313" s="159">
        <v>700000000000</v>
      </c>
      <c r="L313" s="159">
        <v>700000000000000</v>
      </c>
      <c r="M313" s="157">
        <v>10000000000000</v>
      </c>
      <c r="N313" s="157">
        <v>4000000000000</v>
      </c>
      <c r="O313" s="157">
        <v>1.2E+16</v>
      </c>
      <c r="P313" s="156">
        <v>700000000000</v>
      </c>
      <c r="Q313" s="183">
        <v>100</v>
      </c>
      <c r="R313" s="188">
        <v>10000000</v>
      </c>
      <c r="S313">
        <v>6.8674423910559999E-4</v>
      </c>
    </row>
    <row r="314" spans="1:19" ht="15" x14ac:dyDescent="0.25">
      <c r="A314" t="s">
        <v>268</v>
      </c>
      <c r="B314" s="156">
        <v>0.1</v>
      </c>
      <c r="C314" s="156">
        <v>0.1</v>
      </c>
      <c r="D314" s="156">
        <v>30</v>
      </c>
      <c r="E314" s="157">
        <v>2</v>
      </c>
      <c r="F314" s="157">
        <v>2</v>
      </c>
      <c r="G314" s="157">
        <v>6000</v>
      </c>
      <c r="H314" s="158" t="s">
        <v>358</v>
      </c>
      <c r="I314" s="157">
        <v>0.1</v>
      </c>
      <c r="J314" s="181">
        <v>100000000000</v>
      </c>
      <c r="K314" s="159">
        <v>100000000000</v>
      </c>
      <c r="L314" s="159">
        <v>30000000000000</v>
      </c>
      <c r="M314" s="157">
        <v>2000000000000</v>
      </c>
      <c r="N314" s="157">
        <v>2000000000000</v>
      </c>
      <c r="O314" s="157">
        <v>6000000000000000</v>
      </c>
      <c r="P314" s="156">
        <v>100000000000</v>
      </c>
      <c r="Q314" s="183">
        <v>10</v>
      </c>
      <c r="R314" s="188">
        <v>1000000</v>
      </c>
      <c r="S314">
        <v>4.6543463381245702E-2</v>
      </c>
    </row>
    <row r="315" spans="1:19" ht="15" x14ac:dyDescent="0.25">
      <c r="A315" t="s">
        <v>267</v>
      </c>
      <c r="B315" s="156">
        <v>0.1</v>
      </c>
      <c r="C315" s="156">
        <v>0.1</v>
      </c>
      <c r="D315" s="156">
        <v>8</v>
      </c>
      <c r="E315" s="157">
        <v>5</v>
      </c>
      <c r="F315" s="157">
        <v>3</v>
      </c>
      <c r="G315" s="157">
        <v>9000</v>
      </c>
      <c r="H315" s="158" t="s">
        <v>358</v>
      </c>
      <c r="I315" s="157">
        <v>0.1</v>
      </c>
      <c r="J315" s="181">
        <v>100000000000</v>
      </c>
      <c r="K315" s="159">
        <v>100000000000</v>
      </c>
      <c r="L315" s="159">
        <v>8000000000000</v>
      </c>
      <c r="M315" s="157">
        <v>5000000000000</v>
      </c>
      <c r="N315" s="157">
        <v>3000000000000</v>
      </c>
      <c r="O315" s="157">
        <v>9000000000000000</v>
      </c>
      <c r="P315" s="156">
        <v>100000000000</v>
      </c>
      <c r="Q315" s="183">
        <v>100</v>
      </c>
      <c r="R315" s="188">
        <v>100000</v>
      </c>
      <c r="S315">
        <v>0.421629021218343</v>
      </c>
    </row>
    <row r="316" spans="1:19" ht="15" x14ac:dyDescent="0.25">
      <c r="A316" t="s">
        <v>102</v>
      </c>
      <c r="B316" s="156">
        <v>0.6</v>
      </c>
      <c r="C316" s="156">
        <v>0.6</v>
      </c>
      <c r="D316" s="156">
        <v>9</v>
      </c>
      <c r="E316" s="157">
        <v>8</v>
      </c>
      <c r="F316" s="157">
        <v>1</v>
      </c>
      <c r="G316" s="157">
        <v>3000</v>
      </c>
      <c r="H316" s="158" t="s">
        <v>358</v>
      </c>
      <c r="I316" s="157">
        <v>0.6</v>
      </c>
      <c r="J316" s="181">
        <v>600000000000</v>
      </c>
      <c r="K316" s="159">
        <v>600000000000</v>
      </c>
      <c r="L316" s="159">
        <v>9000000000000</v>
      </c>
      <c r="M316" s="157">
        <v>8000000000000</v>
      </c>
      <c r="N316" s="157">
        <v>1000000000000</v>
      </c>
      <c r="O316" s="157">
        <v>3000000000000000</v>
      </c>
      <c r="P316" s="156">
        <v>600000000000</v>
      </c>
      <c r="Q316" s="183">
        <v>100</v>
      </c>
      <c r="R316" s="188">
        <v>10000000</v>
      </c>
      <c r="S316">
        <v>0.32772073921971201</v>
      </c>
    </row>
    <row r="317" spans="1:19" ht="15" x14ac:dyDescent="0.25">
      <c r="A317" t="s">
        <v>103</v>
      </c>
      <c r="B317" s="156">
        <v>10</v>
      </c>
      <c r="C317" s="156">
        <v>20</v>
      </c>
      <c r="D317" s="156">
        <v>10</v>
      </c>
      <c r="E317" s="157">
        <v>20</v>
      </c>
      <c r="F317" s="157">
        <v>0.9</v>
      </c>
      <c r="G317" s="157">
        <v>2700</v>
      </c>
      <c r="H317" s="158" t="s">
        <v>358</v>
      </c>
      <c r="I317" s="157">
        <v>10</v>
      </c>
      <c r="J317" s="181">
        <v>10000000000000</v>
      </c>
      <c r="K317" s="159">
        <v>20000000000000</v>
      </c>
      <c r="L317" s="159">
        <v>10000000000000</v>
      </c>
      <c r="M317" s="157">
        <v>20000000000000</v>
      </c>
      <c r="N317" s="157">
        <v>900000000000</v>
      </c>
      <c r="O317" s="157">
        <v>2700000000000000</v>
      </c>
      <c r="P317" s="156">
        <v>10000000000000</v>
      </c>
      <c r="Q317" s="183">
        <v>1000</v>
      </c>
      <c r="R317" s="188">
        <v>10000000</v>
      </c>
      <c r="S317">
        <v>0.15879534565366099</v>
      </c>
    </row>
    <row r="318" spans="1:19" ht="15" x14ac:dyDescent="0.25">
      <c r="A318" t="s">
        <v>104</v>
      </c>
      <c r="B318" s="156">
        <v>10</v>
      </c>
      <c r="C318" s="156">
        <v>10</v>
      </c>
      <c r="D318" s="156">
        <v>40</v>
      </c>
      <c r="E318" s="157">
        <v>20</v>
      </c>
      <c r="F318" s="157">
        <v>0.7</v>
      </c>
      <c r="G318" s="157">
        <v>2100</v>
      </c>
      <c r="H318" s="158" t="s">
        <v>358</v>
      </c>
      <c r="I318" s="157">
        <v>10</v>
      </c>
      <c r="J318" s="181">
        <v>10000000000000</v>
      </c>
      <c r="K318" s="159">
        <v>10000000000000</v>
      </c>
      <c r="L318" s="159">
        <v>40000000000000</v>
      </c>
      <c r="M318" s="157">
        <v>20000000000000</v>
      </c>
      <c r="N318" s="157">
        <v>700000000000</v>
      </c>
      <c r="O318" s="157">
        <v>2100000000000000</v>
      </c>
      <c r="P318" s="156">
        <v>10000000000000</v>
      </c>
      <c r="Q318" s="183">
        <v>1000</v>
      </c>
      <c r="R318" s="188">
        <v>1000000</v>
      </c>
      <c r="S318">
        <v>1.0666210358201999E-3</v>
      </c>
    </row>
    <row r="319" spans="1:19" ht="15" x14ac:dyDescent="0.25">
      <c r="A319" t="s">
        <v>105</v>
      </c>
      <c r="B319" s="156">
        <v>3</v>
      </c>
      <c r="C319" s="156">
        <v>10</v>
      </c>
      <c r="D319" s="156">
        <v>3</v>
      </c>
      <c r="E319" s="157">
        <v>20</v>
      </c>
      <c r="F319" s="157">
        <v>0.5</v>
      </c>
      <c r="G319" s="157">
        <v>1500</v>
      </c>
      <c r="H319" s="158" t="s">
        <v>358</v>
      </c>
      <c r="I319" s="157">
        <v>3</v>
      </c>
      <c r="J319" s="181">
        <v>3000000000000</v>
      </c>
      <c r="K319" s="159">
        <v>10000000000000</v>
      </c>
      <c r="L319" s="159">
        <v>3000000000000</v>
      </c>
      <c r="M319" s="157">
        <v>20000000000000</v>
      </c>
      <c r="N319" s="157">
        <v>500000000000</v>
      </c>
      <c r="O319" s="157">
        <v>1500000000000000</v>
      </c>
      <c r="P319" s="156">
        <v>3000000000000</v>
      </c>
      <c r="Q319" s="183">
        <v>1000</v>
      </c>
      <c r="R319" s="188">
        <v>10000000</v>
      </c>
      <c r="S319">
        <v>0.29842573579739901</v>
      </c>
    </row>
    <row r="320" spans="1:19" ht="15" x14ac:dyDescent="0.25">
      <c r="A320" t="s">
        <v>106</v>
      </c>
      <c r="B320" s="156">
        <v>1</v>
      </c>
      <c r="C320" s="156">
        <v>1</v>
      </c>
      <c r="D320" s="156">
        <v>20</v>
      </c>
      <c r="E320" s="157">
        <v>0.7</v>
      </c>
      <c r="F320" s="157">
        <v>0.6</v>
      </c>
      <c r="G320" s="157">
        <v>1800</v>
      </c>
      <c r="H320" s="158" t="s">
        <v>358</v>
      </c>
      <c r="I320" s="157">
        <v>1</v>
      </c>
      <c r="J320" s="181">
        <v>1000000000000</v>
      </c>
      <c r="K320" s="159">
        <v>1000000000000</v>
      </c>
      <c r="L320" s="159">
        <v>20000000000000</v>
      </c>
      <c r="M320" s="157">
        <v>700000000000</v>
      </c>
      <c r="N320" s="157">
        <v>600000000000</v>
      </c>
      <c r="O320" s="157">
        <v>1800000000000000</v>
      </c>
      <c r="P320" s="156">
        <v>1000000000000</v>
      </c>
      <c r="Q320" s="183">
        <v>100</v>
      </c>
      <c r="R320" s="188">
        <v>1000000</v>
      </c>
      <c r="S320" t="e">
        <v>#N/A</v>
      </c>
    </row>
    <row r="321" spans="1:19" ht="15" x14ac:dyDescent="0.25">
      <c r="A321" t="s">
        <v>107</v>
      </c>
      <c r="B321" s="156">
        <v>1</v>
      </c>
      <c r="C321" s="156">
        <v>1</v>
      </c>
      <c r="D321" s="156">
        <v>2</v>
      </c>
      <c r="E321" s="157">
        <v>0.8</v>
      </c>
      <c r="F321" s="157">
        <v>0.4</v>
      </c>
      <c r="G321" s="157">
        <v>1200</v>
      </c>
      <c r="H321" s="158" t="s">
        <v>358</v>
      </c>
      <c r="I321" s="157">
        <v>1</v>
      </c>
      <c r="J321" s="181">
        <v>1000000000000</v>
      </c>
      <c r="K321" s="159">
        <v>1000000000000</v>
      </c>
      <c r="L321" s="159">
        <v>2000000000000</v>
      </c>
      <c r="M321" s="157">
        <v>800000000000</v>
      </c>
      <c r="N321" s="157">
        <v>400000000000</v>
      </c>
      <c r="O321" s="157">
        <v>1200000000000000</v>
      </c>
      <c r="P321" s="156">
        <v>1000000000000</v>
      </c>
      <c r="Q321" s="183">
        <v>1000</v>
      </c>
      <c r="R321" s="188">
        <v>1000000</v>
      </c>
      <c r="S321" t="e">
        <v>#N/A</v>
      </c>
    </row>
    <row r="322" spans="1:19" ht="15" x14ac:dyDescent="0.25">
      <c r="A322" t="s">
        <v>108</v>
      </c>
      <c r="B322" s="156">
        <v>0.04</v>
      </c>
      <c r="C322" s="156">
        <v>0.04</v>
      </c>
      <c r="D322" s="156">
        <v>0.2</v>
      </c>
      <c r="E322" s="157">
        <v>0.7</v>
      </c>
      <c r="F322" s="157">
        <v>0.5</v>
      </c>
      <c r="G322" s="157">
        <v>1500</v>
      </c>
      <c r="H322" s="158" t="s">
        <v>358</v>
      </c>
      <c r="I322" s="157">
        <v>0.04</v>
      </c>
      <c r="J322" s="181">
        <v>40000000000</v>
      </c>
      <c r="K322" s="159">
        <v>40000000000</v>
      </c>
      <c r="L322" s="159">
        <v>200000000000</v>
      </c>
      <c r="M322" s="157">
        <v>700000000000</v>
      </c>
      <c r="N322" s="157">
        <v>500000000000</v>
      </c>
      <c r="O322" s="157">
        <v>1500000000000000</v>
      </c>
      <c r="P322" s="156">
        <v>40000000000</v>
      </c>
      <c r="Q322" s="183">
        <v>10</v>
      </c>
      <c r="R322" s="188">
        <v>1000000</v>
      </c>
      <c r="S322" t="e">
        <v>#N/A</v>
      </c>
    </row>
    <row r="323" spans="1:19" ht="15" x14ac:dyDescent="0.25">
      <c r="A323" t="s">
        <v>109</v>
      </c>
      <c r="B323" s="156">
        <v>0.03</v>
      </c>
      <c r="C323" s="156">
        <v>0.03</v>
      </c>
      <c r="D323" s="156">
        <v>0.8</v>
      </c>
      <c r="E323" s="157">
        <v>0.5</v>
      </c>
      <c r="F323" s="157">
        <v>0.4</v>
      </c>
      <c r="G323" s="157">
        <v>1200</v>
      </c>
      <c r="H323" s="158" t="s">
        <v>358</v>
      </c>
      <c r="I323" s="157">
        <v>0.03</v>
      </c>
      <c r="J323" s="181">
        <v>30000000000</v>
      </c>
      <c r="K323" s="159">
        <v>30000000000</v>
      </c>
      <c r="L323" s="159">
        <v>800000000000</v>
      </c>
      <c r="M323" s="157">
        <v>500000000000</v>
      </c>
      <c r="N323" s="157">
        <v>400000000000</v>
      </c>
      <c r="O323" s="157">
        <v>1200000000000000</v>
      </c>
      <c r="P323" s="156">
        <v>30000000000</v>
      </c>
      <c r="Q323" s="183">
        <v>100</v>
      </c>
      <c r="R323" s="188">
        <v>10000000</v>
      </c>
      <c r="S323">
        <v>8.7679999999999998E-3</v>
      </c>
    </row>
    <row r="324" spans="1:19" ht="15" x14ac:dyDescent="0.25">
      <c r="A324" t="s">
        <v>177</v>
      </c>
      <c r="B324" s="156">
        <v>0.08</v>
      </c>
      <c r="C324" s="156">
        <v>0.2</v>
      </c>
      <c r="D324" s="156">
        <v>0.08</v>
      </c>
      <c r="E324" s="157">
        <v>10</v>
      </c>
      <c r="F324" s="157">
        <v>5.0000000000000001E-3</v>
      </c>
      <c r="G324" s="157">
        <v>15</v>
      </c>
      <c r="H324" s="158" t="s">
        <v>358</v>
      </c>
      <c r="I324" s="157">
        <v>0.08</v>
      </c>
      <c r="J324" s="181">
        <v>80000000000</v>
      </c>
      <c r="K324" s="159">
        <v>200000000000</v>
      </c>
      <c r="L324" s="159">
        <v>80000000000</v>
      </c>
      <c r="M324" s="157">
        <v>10000000000000</v>
      </c>
      <c r="N324" s="157">
        <v>5000000000</v>
      </c>
      <c r="O324" s="157">
        <v>15000000000000</v>
      </c>
      <c r="P324" s="156">
        <v>80000000000</v>
      </c>
      <c r="Q324" s="183">
        <v>10</v>
      </c>
      <c r="R324" s="188">
        <v>10000</v>
      </c>
      <c r="S324" t="e">
        <v>#N/A</v>
      </c>
    </row>
    <row r="325" spans="1:19" ht="15" x14ac:dyDescent="0.25">
      <c r="A325" t="s">
        <v>247</v>
      </c>
      <c r="B325" s="156">
        <v>0.04</v>
      </c>
      <c r="C325" s="156">
        <v>0.05</v>
      </c>
      <c r="D325" s="156">
        <v>0.04</v>
      </c>
      <c r="E325" s="157">
        <v>0.5</v>
      </c>
      <c r="F325" s="157">
        <v>1E-3</v>
      </c>
      <c r="G325" s="157">
        <v>3</v>
      </c>
      <c r="H325" s="158" t="s">
        <v>358</v>
      </c>
      <c r="I325" s="157">
        <v>0.04</v>
      </c>
      <c r="J325" s="181">
        <v>40000000000</v>
      </c>
      <c r="K325" s="159">
        <v>50000000000</v>
      </c>
      <c r="L325" s="159">
        <v>40000000000</v>
      </c>
      <c r="M325" s="157">
        <v>500000000000</v>
      </c>
      <c r="N325" s="157">
        <v>1000000000</v>
      </c>
      <c r="O325" s="157">
        <v>3000000000000</v>
      </c>
      <c r="P325" s="156">
        <v>40000000000</v>
      </c>
      <c r="Q325" s="183">
        <v>1</v>
      </c>
      <c r="R325" s="188">
        <v>10000</v>
      </c>
      <c r="S325">
        <v>1.91</v>
      </c>
    </row>
    <row r="326" spans="1:19" ht="15" x14ac:dyDescent="0.25">
      <c r="A326" t="s">
        <v>248</v>
      </c>
      <c r="B326" s="156">
        <v>0.01</v>
      </c>
      <c r="C326" s="156">
        <v>0.2</v>
      </c>
      <c r="D326" s="156">
        <v>0.01</v>
      </c>
      <c r="E326" s="157">
        <v>5</v>
      </c>
      <c r="F326" s="157">
        <v>5.0000000000000001E-4</v>
      </c>
      <c r="G326" s="157">
        <v>1.5</v>
      </c>
      <c r="H326" s="158" t="s">
        <v>358</v>
      </c>
      <c r="I326" s="157">
        <v>0.01</v>
      </c>
      <c r="J326" s="181">
        <v>10000000000</v>
      </c>
      <c r="K326" s="159">
        <v>200000000000</v>
      </c>
      <c r="L326" s="159">
        <v>10000000000</v>
      </c>
      <c r="M326" s="157">
        <v>5000000000000</v>
      </c>
      <c r="N326" s="157">
        <v>500000000</v>
      </c>
      <c r="O326" s="157">
        <v>1500000000000</v>
      </c>
      <c r="P326" s="156">
        <v>10000000000</v>
      </c>
      <c r="Q326" s="183">
        <v>1</v>
      </c>
      <c r="R326" s="188">
        <v>1000</v>
      </c>
      <c r="S326" t="e">
        <v>#N/A</v>
      </c>
    </row>
    <row r="327" spans="1:19" ht="15" x14ac:dyDescent="0.25">
      <c r="A327" t="s">
        <v>178</v>
      </c>
      <c r="B327" s="156">
        <v>7.0000000000000007E-2</v>
      </c>
      <c r="C327" s="156">
        <v>900</v>
      </c>
      <c r="D327" s="156">
        <v>7.0000000000000007E-2</v>
      </c>
      <c r="E327" s="157">
        <v>10</v>
      </c>
      <c r="F327" s="157">
        <v>1E-3</v>
      </c>
      <c r="G327" s="157">
        <v>3</v>
      </c>
      <c r="H327" s="158" t="s">
        <v>358</v>
      </c>
      <c r="I327" s="157">
        <v>7.0000000000000007E-2</v>
      </c>
      <c r="J327" s="181">
        <v>70000000000</v>
      </c>
      <c r="K327" s="159">
        <v>900000000000000</v>
      </c>
      <c r="L327" s="159">
        <v>70000000000</v>
      </c>
      <c r="M327" s="157">
        <v>10000000000000</v>
      </c>
      <c r="N327" s="157">
        <v>1000000000</v>
      </c>
      <c r="O327" s="157">
        <v>3000000000000</v>
      </c>
      <c r="P327" s="156">
        <v>70000000000</v>
      </c>
      <c r="Q327" s="183">
        <v>1</v>
      </c>
      <c r="R327" s="188">
        <v>10000</v>
      </c>
      <c r="S327">
        <v>77000</v>
      </c>
    </row>
    <row r="328" spans="1:19" ht="15" x14ac:dyDescent="0.25">
      <c r="A328" t="s">
        <v>179</v>
      </c>
      <c r="B328" s="156">
        <v>10</v>
      </c>
      <c r="C328" s="156">
        <v>10</v>
      </c>
      <c r="D328" s="156">
        <v>300</v>
      </c>
      <c r="E328" s="157">
        <v>40</v>
      </c>
      <c r="F328" s="157">
        <v>0.02</v>
      </c>
      <c r="G328" s="157">
        <v>60</v>
      </c>
      <c r="H328" s="158" t="s">
        <v>358</v>
      </c>
      <c r="I328" s="157">
        <v>10</v>
      </c>
      <c r="J328" s="181">
        <v>10000000000000</v>
      </c>
      <c r="K328" s="159">
        <v>10000000000000</v>
      </c>
      <c r="L328" s="159">
        <v>300000000000000</v>
      </c>
      <c r="M328" s="157">
        <v>40000000000000</v>
      </c>
      <c r="N328" s="157">
        <v>20000000000</v>
      </c>
      <c r="O328" s="157">
        <v>60000000000000</v>
      </c>
      <c r="P328" s="156">
        <v>10000000000000</v>
      </c>
      <c r="Q328" s="183">
        <v>1000</v>
      </c>
      <c r="R328" s="188">
        <v>10000000</v>
      </c>
      <c r="S328" t="e">
        <v>#N/A</v>
      </c>
    </row>
    <row r="329" spans="1:19" ht="15" x14ac:dyDescent="0.25">
      <c r="A329" t="s">
        <v>263</v>
      </c>
      <c r="B329" s="156" t="s">
        <v>362</v>
      </c>
      <c r="C329" s="156" t="s">
        <v>362</v>
      </c>
      <c r="D329" s="156" t="s">
        <v>362</v>
      </c>
      <c r="E329" s="157" t="s">
        <v>362</v>
      </c>
      <c r="F329" s="157" t="s">
        <v>362</v>
      </c>
      <c r="G329" s="157" t="s">
        <v>362</v>
      </c>
      <c r="H329" s="161" t="s">
        <v>362</v>
      </c>
      <c r="I329" s="157" t="s">
        <v>362</v>
      </c>
      <c r="J329" s="181" t="s">
        <v>362</v>
      </c>
      <c r="K329" s="159" t="s">
        <v>362</v>
      </c>
      <c r="L329" s="159" t="s">
        <v>362</v>
      </c>
      <c r="M329" s="157" t="s">
        <v>362</v>
      </c>
      <c r="N329" s="157" t="s">
        <v>362</v>
      </c>
      <c r="O329" s="157" t="s">
        <v>362</v>
      </c>
      <c r="P329" s="164" t="s">
        <v>362</v>
      </c>
      <c r="Q329" s="183">
        <v>10</v>
      </c>
      <c r="R329" s="188">
        <v>10000</v>
      </c>
      <c r="S329">
        <v>14000000000</v>
      </c>
    </row>
    <row r="330" spans="1:19" ht="15" x14ac:dyDescent="0.25">
      <c r="A330" t="s">
        <v>249</v>
      </c>
      <c r="B330" s="156">
        <v>2</v>
      </c>
      <c r="C330" s="156">
        <v>2</v>
      </c>
      <c r="D330" s="156">
        <v>2</v>
      </c>
      <c r="E330" s="157">
        <v>0.3</v>
      </c>
      <c r="F330" s="157">
        <v>0.3</v>
      </c>
      <c r="G330" s="157">
        <v>900</v>
      </c>
      <c r="H330" s="158" t="s">
        <v>358</v>
      </c>
      <c r="I330" s="157">
        <v>2</v>
      </c>
      <c r="J330" s="181">
        <v>2000000000000</v>
      </c>
      <c r="K330" s="159">
        <v>2000000000000</v>
      </c>
      <c r="L330" s="159">
        <v>2000000000000</v>
      </c>
      <c r="M330" s="157">
        <v>300000000000</v>
      </c>
      <c r="N330" s="157">
        <v>300000000000</v>
      </c>
      <c r="O330" s="157">
        <v>900000000000000</v>
      </c>
      <c r="P330" s="156">
        <v>2000000000000</v>
      </c>
      <c r="Q330" s="183">
        <v>1000</v>
      </c>
      <c r="R330" s="188">
        <v>100000</v>
      </c>
      <c r="S330">
        <v>6.5979999999999997E-2</v>
      </c>
    </row>
    <row r="331" spans="1:19" ht="15" x14ac:dyDescent="0.25">
      <c r="A331" t="s">
        <v>451</v>
      </c>
      <c r="B331" s="156">
        <v>0.03</v>
      </c>
      <c r="C331" s="156">
        <v>0.03</v>
      </c>
      <c r="D331" s="156">
        <v>9</v>
      </c>
      <c r="E331" s="157">
        <v>0.5</v>
      </c>
      <c r="F331" s="157">
        <v>0.4</v>
      </c>
      <c r="G331" s="157">
        <v>1200</v>
      </c>
      <c r="H331" s="158" t="s">
        <v>358</v>
      </c>
      <c r="I331" s="157">
        <v>0.03</v>
      </c>
      <c r="J331" s="181">
        <v>30000000000</v>
      </c>
      <c r="K331" s="159">
        <v>30000000000</v>
      </c>
      <c r="L331" s="159">
        <v>9000000000000</v>
      </c>
      <c r="M331" s="157">
        <v>500000000000</v>
      </c>
      <c r="N331" s="157">
        <v>400000000000</v>
      </c>
      <c r="O331" s="157">
        <v>1200000000000000</v>
      </c>
      <c r="P331" s="156">
        <v>30000000000</v>
      </c>
      <c r="Q331" s="183">
        <v>10</v>
      </c>
      <c r="R331" s="188">
        <v>100000</v>
      </c>
      <c r="S331" t="e">
        <v>#N/A</v>
      </c>
    </row>
    <row r="332" spans="1:19" ht="15" x14ac:dyDescent="0.25">
      <c r="A332" t="s">
        <v>228</v>
      </c>
      <c r="B332" s="156">
        <v>0.05</v>
      </c>
      <c r="C332" s="156">
        <v>0.05</v>
      </c>
      <c r="D332" s="156">
        <v>200</v>
      </c>
      <c r="E332" s="157">
        <v>0.9</v>
      </c>
      <c r="F332" s="157">
        <v>0.9</v>
      </c>
      <c r="G332" s="157">
        <v>2700</v>
      </c>
      <c r="H332" s="158" t="s">
        <v>358</v>
      </c>
      <c r="I332" s="157">
        <v>0.05</v>
      </c>
      <c r="J332" s="181">
        <v>50000000000</v>
      </c>
      <c r="K332" s="159">
        <v>50000000000</v>
      </c>
      <c r="L332" s="159">
        <v>200000000000000</v>
      </c>
      <c r="M332" s="157">
        <v>900000000000</v>
      </c>
      <c r="N332" s="157">
        <v>900000000000</v>
      </c>
      <c r="O332" s="157">
        <v>2700000000000000</v>
      </c>
      <c r="P332" s="156">
        <v>50000000000</v>
      </c>
      <c r="Q332" s="183">
        <v>10</v>
      </c>
      <c r="R332" s="188">
        <v>1000000</v>
      </c>
      <c r="S332" t="e">
        <v>#N/A</v>
      </c>
    </row>
    <row r="333" spans="1:19" ht="15" x14ac:dyDescent="0.25">
      <c r="A333" t="s">
        <v>229</v>
      </c>
      <c r="B333" s="156">
        <v>1</v>
      </c>
      <c r="C333" s="156">
        <v>1</v>
      </c>
      <c r="D333" s="156">
        <v>1000</v>
      </c>
      <c r="E333" s="157">
        <v>10</v>
      </c>
      <c r="F333" s="157">
        <v>4</v>
      </c>
      <c r="G333" s="157">
        <v>12000</v>
      </c>
      <c r="H333" s="158" t="s">
        <v>358</v>
      </c>
      <c r="I333" s="157">
        <v>1</v>
      </c>
      <c r="J333" s="181">
        <v>1000000000000</v>
      </c>
      <c r="K333" s="159">
        <v>1000000000000</v>
      </c>
      <c r="L333" s="159">
        <v>1000000000000000</v>
      </c>
      <c r="M333" s="157">
        <v>10000000000000</v>
      </c>
      <c r="N333" s="157">
        <v>4000000000000</v>
      </c>
      <c r="O333" s="157">
        <v>1.2E+16</v>
      </c>
      <c r="P333" s="156">
        <v>1000000000000</v>
      </c>
      <c r="Q333" s="183">
        <v>100</v>
      </c>
      <c r="R333" s="188">
        <v>1000000</v>
      </c>
      <c r="S333">
        <v>8.3230663928815993E-3</v>
      </c>
    </row>
    <row r="334" spans="1:19" ht="15" x14ac:dyDescent="0.25">
      <c r="A334" t="s">
        <v>230</v>
      </c>
      <c r="B334" s="156">
        <v>0.2</v>
      </c>
      <c r="C334" s="156">
        <v>0.2</v>
      </c>
      <c r="D334" s="156">
        <v>200</v>
      </c>
      <c r="E334" s="157">
        <v>2</v>
      </c>
      <c r="F334" s="157">
        <v>2</v>
      </c>
      <c r="G334" s="157">
        <v>6000</v>
      </c>
      <c r="H334" s="158" t="s">
        <v>358</v>
      </c>
      <c r="I334" s="157">
        <v>0.2</v>
      </c>
      <c r="J334" s="181">
        <v>200000000000</v>
      </c>
      <c r="K334" s="159">
        <v>200000000000</v>
      </c>
      <c r="L334" s="159">
        <v>200000000000000</v>
      </c>
      <c r="M334" s="157">
        <v>2000000000000</v>
      </c>
      <c r="N334" s="157">
        <v>2000000000000</v>
      </c>
      <c r="O334" s="157">
        <v>6000000000000000</v>
      </c>
      <c r="P334" s="156">
        <v>200000000000</v>
      </c>
      <c r="Q334" s="183">
        <v>100</v>
      </c>
      <c r="R334" s="188">
        <v>1000000</v>
      </c>
      <c r="S334" t="e">
        <v>#N/A</v>
      </c>
    </row>
    <row r="335" spans="1:19" ht="15" x14ac:dyDescent="0.25">
      <c r="A335" t="s">
        <v>231</v>
      </c>
      <c r="B335" s="156">
        <v>20</v>
      </c>
      <c r="C335" s="156">
        <v>70</v>
      </c>
      <c r="D335" s="156">
        <v>20</v>
      </c>
      <c r="E335" s="157">
        <v>10</v>
      </c>
      <c r="F335" s="157">
        <v>0.7</v>
      </c>
      <c r="G335" s="160">
        <v>200</v>
      </c>
      <c r="H335" s="158" t="s">
        <v>361</v>
      </c>
      <c r="I335" s="157">
        <v>20</v>
      </c>
      <c r="J335" s="181">
        <v>20000000000000</v>
      </c>
      <c r="K335" s="159">
        <v>70000000000000</v>
      </c>
      <c r="L335" s="159">
        <v>20000000000000</v>
      </c>
      <c r="M335" s="157">
        <v>10000000000000</v>
      </c>
      <c r="N335" s="157">
        <v>700000000000</v>
      </c>
      <c r="O335" s="157">
        <v>200000000000000</v>
      </c>
      <c r="P335" s="156">
        <v>20000000000000</v>
      </c>
      <c r="Q335" s="183">
        <v>10000</v>
      </c>
      <c r="R335" s="188">
        <v>10000</v>
      </c>
      <c r="S335">
        <v>3.78</v>
      </c>
    </row>
    <row r="336" spans="1:19" ht="15" x14ac:dyDescent="0.25">
      <c r="A336" t="s">
        <v>452</v>
      </c>
      <c r="B336" s="156">
        <v>0.6</v>
      </c>
      <c r="C336" s="156">
        <v>0.6</v>
      </c>
      <c r="D336" s="156">
        <v>200</v>
      </c>
      <c r="E336" s="157">
        <v>7</v>
      </c>
      <c r="F336" s="157">
        <v>0.8</v>
      </c>
      <c r="G336" s="157">
        <v>2400</v>
      </c>
      <c r="H336" s="158" t="s">
        <v>358</v>
      </c>
      <c r="I336" s="157">
        <v>0.6</v>
      </c>
      <c r="J336" s="181">
        <v>600000000000</v>
      </c>
      <c r="K336" s="159">
        <v>600000000000</v>
      </c>
      <c r="L336" s="159">
        <v>200000000000000</v>
      </c>
      <c r="M336" s="157">
        <v>7000000000000</v>
      </c>
      <c r="N336" s="157">
        <v>800000000000</v>
      </c>
      <c r="O336" s="157">
        <v>2400000000000000</v>
      </c>
      <c r="P336" s="156">
        <v>600000000000</v>
      </c>
      <c r="Q336" s="183">
        <v>100</v>
      </c>
      <c r="R336" s="188">
        <v>1000000</v>
      </c>
      <c r="S336" t="e">
        <v>#N/A</v>
      </c>
    </row>
    <row r="337" spans="1:19" ht="15" x14ac:dyDescent="0.25">
      <c r="A337" t="s">
        <v>145</v>
      </c>
      <c r="B337" s="156">
        <v>20</v>
      </c>
      <c r="C337" s="156">
        <v>20</v>
      </c>
      <c r="D337" s="156">
        <v>20</v>
      </c>
      <c r="E337" s="157">
        <v>3</v>
      </c>
      <c r="F337" s="157">
        <v>0.6</v>
      </c>
      <c r="G337" s="160">
        <v>200</v>
      </c>
      <c r="H337" s="158" t="s">
        <v>361</v>
      </c>
      <c r="I337" s="163">
        <v>20</v>
      </c>
      <c r="J337" s="181">
        <v>20000000000000</v>
      </c>
      <c r="K337" s="159">
        <v>20000000000000</v>
      </c>
      <c r="L337" s="159">
        <v>20000000000000</v>
      </c>
      <c r="M337" s="157">
        <v>3000000000000</v>
      </c>
      <c r="N337" s="157">
        <v>600000000000</v>
      </c>
      <c r="O337" s="157">
        <v>200000000000000</v>
      </c>
      <c r="P337" s="156">
        <v>20000000000000</v>
      </c>
      <c r="Q337" s="183">
        <v>1000</v>
      </c>
      <c r="R337" s="188">
        <v>1000000</v>
      </c>
      <c r="S337">
        <v>0.35318275154004097</v>
      </c>
    </row>
    <row r="338" spans="1:19" ht="15" x14ac:dyDescent="0.25">
      <c r="A338" t="s">
        <v>146</v>
      </c>
      <c r="B338" s="156">
        <v>300</v>
      </c>
      <c r="C338" s="156">
        <v>300</v>
      </c>
      <c r="D338" s="156">
        <v>400</v>
      </c>
      <c r="E338" s="157">
        <v>40</v>
      </c>
      <c r="F338" s="157">
        <v>40</v>
      </c>
      <c r="G338" s="157">
        <v>120000</v>
      </c>
      <c r="H338" s="158" t="s">
        <v>358</v>
      </c>
      <c r="I338" s="157">
        <v>300</v>
      </c>
      <c r="J338" s="181">
        <v>300000000000000</v>
      </c>
      <c r="K338" s="159">
        <v>300000000000000</v>
      </c>
      <c r="L338" s="159">
        <v>400000000000000</v>
      </c>
      <c r="M338" s="157">
        <v>40000000000000</v>
      </c>
      <c r="N338" s="157">
        <v>40000000000000</v>
      </c>
      <c r="O338" s="157">
        <v>1.2E+17</v>
      </c>
      <c r="P338" s="156">
        <v>300000000000000</v>
      </c>
      <c r="Q338" s="183">
        <v>10000</v>
      </c>
      <c r="R338" s="188">
        <v>100000000</v>
      </c>
      <c r="S338" t="e">
        <v>#N/A</v>
      </c>
    </row>
    <row r="339" spans="1:19" ht="15" x14ac:dyDescent="0.25">
      <c r="A339" t="s">
        <v>453</v>
      </c>
      <c r="B339" s="156" t="s">
        <v>362</v>
      </c>
      <c r="C339" s="156" t="s">
        <v>362</v>
      </c>
      <c r="D339" s="156" t="s">
        <v>362</v>
      </c>
      <c r="E339" s="157" t="s">
        <v>362</v>
      </c>
      <c r="F339" s="157" t="s">
        <v>362</v>
      </c>
      <c r="G339" s="157" t="s">
        <v>362</v>
      </c>
      <c r="H339" s="161" t="s">
        <v>362</v>
      </c>
      <c r="I339" s="157" t="s">
        <v>362</v>
      </c>
      <c r="J339" s="181" t="s">
        <v>362</v>
      </c>
      <c r="K339" s="159" t="s">
        <v>362</v>
      </c>
      <c r="L339" s="159" t="s">
        <v>362</v>
      </c>
      <c r="M339" s="157" t="s">
        <v>362</v>
      </c>
      <c r="N339" s="157" t="s">
        <v>362</v>
      </c>
      <c r="O339" s="157" t="s">
        <v>362</v>
      </c>
      <c r="P339" s="164" t="s">
        <v>362</v>
      </c>
      <c r="Q339" s="183">
        <v>1</v>
      </c>
      <c r="R339" s="188">
        <v>1000</v>
      </c>
      <c r="S339" t="e">
        <v>#N/A</v>
      </c>
    </row>
    <row r="340" spans="1:19" ht="15" x14ac:dyDescent="0.25">
      <c r="A340" t="s">
        <v>454</v>
      </c>
      <c r="B340" s="156">
        <v>8.0000000000000004E-4</v>
      </c>
      <c r="C340" s="156">
        <v>8.0000000000000004E-4</v>
      </c>
      <c r="D340" s="156">
        <v>8.0000000000000004E-4</v>
      </c>
      <c r="E340" s="157" t="s">
        <v>362</v>
      </c>
      <c r="F340" s="157" t="s">
        <v>362</v>
      </c>
      <c r="G340" s="157" t="s">
        <v>362</v>
      </c>
      <c r="H340" s="161" t="s">
        <v>362</v>
      </c>
      <c r="I340" s="157">
        <v>8.0000000000000004E-4</v>
      </c>
      <c r="J340" s="181">
        <v>800000000</v>
      </c>
      <c r="K340" s="159">
        <v>800000000</v>
      </c>
      <c r="L340" s="159">
        <v>800000000</v>
      </c>
      <c r="M340" s="157" t="e">
        <v>#VALUE!</v>
      </c>
      <c r="N340" s="157" t="e">
        <v>#VALUE!</v>
      </c>
      <c r="O340" s="157" t="e">
        <v>#VALUE!</v>
      </c>
      <c r="P340" s="156">
        <v>800000000</v>
      </c>
      <c r="Q340" s="183">
        <v>1</v>
      </c>
      <c r="R340" s="188">
        <v>1000</v>
      </c>
      <c r="S340" t="e">
        <v>#N/A</v>
      </c>
    </row>
    <row r="341" spans="1:19" ht="15" x14ac:dyDescent="0.25">
      <c r="A341" t="s">
        <v>455</v>
      </c>
      <c r="B341" s="156" t="s">
        <v>362</v>
      </c>
      <c r="C341" s="156" t="s">
        <v>362</v>
      </c>
      <c r="D341" s="156" t="s">
        <v>362</v>
      </c>
      <c r="E341" s="157" t="s">
        <v>362</v>
      </c>
      <c r="F341" s="157" t="s">
        <v>362</v>
      </c>
      <c r="G341" s="157" t="s">
        <v>362</v>
      </c>
      <c r="H341" s="161" t="s">
        <v>362</v>
      </c>
      <c r="I341" s="157" t="s">
        <v>362</v>
      </c>
      <c r="J341" s="181" t="s">
        <v>362</v>
      </c>
      <c r="K341" s="159" t="s">
        <v>362</v>
      </c>
      <c r="L341" s="159" t="s">
        <v>362</v>
      </c>
      <c r="M341" s="157" t="s">
        <v>362</v>
      </c>
      <c r="N341" s="157" t="s">
        <v>362</v>
      </c>
      <c r="O341" s="157" t="s">
        <v>362</v>
      </c>
      <c r="P341" s="164" t="s">
        <v>362</v>
      </c>
      <c r="Q341" s="183">
        <v>1</v>
      </c>
      <c r="R341" s="188">
        <v>1000</v>
      </c>
      <c r="S341" t="e">
        <v>#N/A</v>
      </c>
    </row>
    <row r="342" spans="1:19" ht="15" x14ac:dyDescent="0.25">
      <c r="A342" t="s">
        <v>250</v>
      </c>
      <c r="B342" s="156">
        <v>0.04</v>
      </c>
      <c r="C342" s="156">
        <v>4</v>
      </c>
      <c r="D342" s="156">
        <v>0.04</v>
      </c>
      <c r="E342" s="157">
        <v>40</v>
      </c>
      <c r="F342" s="157">
        <v>4.0000000000000001E-3</v>
      </c>
      <c r="G342" s="157">
        <v>12</v>
      </c>
      <c r="H342" s="158" t="s">
        <v>358</v>
      </c>
      <c r="I342" s="157">
        <v>0.04</v>
      </c>
      <c r="J342" s="181">
        <v>40000000000</v>
      </c>
      <c r="K342" s="159">
        <v>4000000000000</v>
      </c>
      <c r="L342" s="159">
        <v>40000000000</v>
      </c>
      <c r="M342" s="157">
        <v>40000000000000</v>
      </c>
      <c r="N342" s="157">
        <v>4000000000</v>
      </c>
      <c r="O342" s="157">
        <v>12000000000000</v>
      </c>
      <c r="P342" s="156">
        <v>40000000000</v>
      </c>
      <c r="Q342" s="183">
        <v>10</v>
      </c>
      <c r="R342" s="188">
        <v>10000</v>
      </c>
      <c r="S342" t="e">
        <v>#N/A</v>
      </c>
    </row>
    <row r="343" spans="1:19" ht="15" x14ac:dyDescent="0.25">
      <c r="A343" t="s">
        <v>251</v>
      </c>
      <c r="B343" s="156">
        <v>0.06</v>
      </c>
      <c r="C343" s="156">
        <v>7.0000000000000007E-2</v>
      </c>
      <c r="D343" s="156">
        <v>0.06</v>
      </c>
      <c r="E343" s="157">
        <v>40</v>
      </c>
      <c r="F343" s="157">
        <v>7.0000000000000001E-3</v>
      </c>
      <c r="G343" s="157">
        <v>21</v>
      </c>
      <c r="H343" s="158" t="s">
        <v>358</v>
      </c>
      <c r="I343" s="157">
        <v>0.06</v>
      </c>
      <c r="J343" s="181">
        <v>60000000000</v>
      </c>
      <c r="K343" s="159">
        <v>70000000000</v>
      </c>
      <c r="L343" s="159">
        <v>60000000000</v>
      </c>
      <c r="M343" s="157">
        <v>40000000000000</v>
      </c>
      <c r="N343" s="157">
        <v>7000000000</v>
      </c>
      <c r="O343" s="157">
        <v>21000000000000</v>
      </c>
      <c r="P343" s="156">
        <v>60000000000</v>
      </c>
      <c r="Q343" s="183">
        <v>10</v>
      </c>
      <c r="R343" s="188">
        <v>10000</v>
      </c>
      <c r="S343" t="e">
        <v>#N/A</v>
      </c>
    </row>
    <row r="344" spans="1:19" ht="15" x14ac:dyDescent="0.25">
      <c r="A344" t="s">
        <v>183</v>
      </c>
      <c r="B344" s="156">
        <v>7.0000000000000007E-2</v>
      </c>
      <c r="C344" s="156">
        <v>7.0000000000000007E-2</v>
      </c>
      <c r="D344" s="156">
        <v>7.0000000000000007E-2</v>
      </c>
      <c r="E344" s="157">
        <v>40</v>
      </c>
      <c r="F344" s="157">
        <v>0.02</v>
      </c>
      <c r="G344" s="157">
        <v>60</v>
      </c>
      <c r="H344" s="158" t="s">
        <v>358</v>
      </c>
      <c r="I344" s="157">
        <v>7.0000000000000007E-2</v>
      </c>
      <c r="J344" s="181">
        <v>70000000000</v>
      </c>
      <c r="K344" s="159">
        <v>70000000000</v>
      </c>
      <c r="L344" s="159">
        <v>70000000000</v>
      </c>
      <c r="M344" s="157">
        <v>40000000000000</v>
      </c>
      <c r="N344" s="157">
        <v>20000000000</v>
      </c>
      <c r="O344" s="157">
        <v>60000000000000</v>
      </c>
      <c r="P344" s="156">
        <v>70000000000</v>
      </c>
      <c r="Q344" s="183">
        <v>100</v>
      </c>
      <c r="R344" s="188">
        <v>100000</v>
      </c>
      <c r="S344">
        <v>158000</v>
      </c>
    </row>
    <row r="345" spans="1:19" ht="15" x14ac:dyDescent="0.25">
      <c r="A345" t="s">
        <v>184</v>
      </c>
      <c r="B345" s="156">
        <v>0.1</v>
      </c>
      <c r="C345" s="156">
        <v>0.1</v>
      </c>
      <c r="D345" s="156">
        <v>0.1</v>
      </c>
      <c r="E345" s="157">
        <v>40</v>
      </c>
      <c r="F345" s="157">
        <v>0.02</v>
      </c>
      <c r="G345" s="157">
        <v>60</v>
      </c>
      <c r="H345" s="158" t="s">
        <v>358</v>
      </c>
      <c r="I345" s="157">
        <v>0.1</v>
      </c>
      <c r="J345" s="181">
        <v>100000000000</v>
      </c>
      <c r="K345" s="159">
        <v>100000000000</v>
      </c>
      <c r="L345" s="159">
        <v>100000000000</v>
      </c>
      <c r="M345" s="157">
        <v>40000000000000</v>
      </c>
      <c r="N345" s="157">
        <v>20000000000</v>
      </c>
      <c r="O345" s="157">
        <v>60000000000000</v>
      </c>
      <c r="P345" s="156">
        <v>100000000000</v>
      </c>
      <c r="Q345" s="183">
        <v>100</v>
      </c>
      <c r="R345" s="188">
        <v>100000</v>
      </c>
      <c r="S345">
        <v>244000</v>
      </c>
    </row>
    <row r="346" spans="1:19" ht="15" x14ac:dyDescent="0.25">
      <c r="A346" t="s">
        <v>252</v>
      </c>
      <c r="B346" s="156">
        <v>8.0000000000000007E-5</v>
      </c>
      <c r="C346" s="156">
        <v>8.0000000000000007E-5</v>
      </c>
      <c r="D346" s="156">
        <v>8.0000000000000007E-5</v>
      </c>
      <c r="E346" s="157" t="s">
        <v>362</v>
      </c>
      <c r="F346" s="157" t="s">
        <v>362</v>
      </c>
      <c r="G346" s="157" t="s">
        <v>362</v>
      </c>
      <c r="H346" s="161" t="s">
        <v>362</v>
      </c>
      <c r="I346" s="157">
        <v>8.0000000000000007E-5</v>
      </c>
      <c r="J346" s="181">
        <v>80000000</v>
      </c>
      <c r="K346" s="159">
        <v>80000000</v>
      </c>
      <c r="L346" s="159">
        <v>80000000</v>
      </c>
      <c r="M346" s="157" t="e">
        <v>#VALUE!</v>
      </c>
      <c r="N346" s="157" t="e">
        <v>#VALUE!</v>
      </c>
      <c r="O346" s="157" t="e">
        <v>#VALUE!</v>
      </c>
      <c r="P346" s="156">
        <v>80000000</v>
      </c>
      <c r="Q346" s="183">
        <v>10</v>
      </c>
      <c r="R346" s="188">
        <v>10000</v>
      </c>
      <c r="S346">
        <v>704000000</v>
      </c>
    </row>
    <row r="347" spans="1:19" ht="15" x14ac:dyDescent="0.25">
      <c r="A347" t="s">
        <v>185</v>
      </c>
      <c r="B347" s="156">
        <v>0.2</v>
      </c>
      <c r="C347" s="156" t="s">
        <v>362</v>
      </c>
      <c r="D347" s="156">
        <v>0.2</v>
      </c>
      <c r="E347" s="157">
        <v>40</v>
      </c>
      <c r="F347" s="157">
        <v>0.02</v>
      </c>
      <c r="G347" s="157">
        <v>60</v>
      </c>
      <c r="H347" s="158" t="s">
        <v>358</v>
      </c>
      <c r="I347" s="157">
        <v>0.2</v>
      </c>
      <c r="J347" s="181">
        <v>200000000000</v>
      </c>
      <c r="K347" s="159" t="s">
        <v>362</v>
      </c>
      <c r="L347" s="159">
        <v>200000000000</v>
      </c>
      <c r="M347" s="157">
        <v>40000000000000</v>
      </c>
      <c r="N347" s="157">
        <v>20000000000</v>
      </c>
      <c r="O347" s="157">
        <v>60000000000000</v>
      </c>
      <c r="P347" s="156">
        <v>200000000000</v>
      </c>
      <c r="Q347" s="183">
        <v>100</v>
      </c>
      <c r="R347" s="188">
        <v>100000</v>
      </c>
      <c r="S347">
        <v>23400000</v>
      </c>
    </row>
    <row r="348" spans="1:19" ht="15" x14ac:dyDescent="0.25">
      <c r="A348" t="s">
        <v>186</v>
      </c>
      <c r="B348" s="156"/>
      <c r="C348" s="156"/>
      <c r="D348" s="156"/>
      <c r="E348" s="157"/>
      <c r="F348" s="157"/>
      <c r="G348" s="157"/>
      <c r="H348" s="158"/>
      <c r="I348" s="157">
        <v>0</v>
      </c>
      <c r="J348" s="181"/>
      <c r="K348" s="159"/>
      <c r="L348" s="159"/>
      <c r="M348" s="157"/>
      <c r="N348" s="157"/>
      <c r="O348" s="157"/>
      <c r="P348" s="156">
        <v>0</v>
      </c>
      <c r="Q348" s="183">
        <v>10</v>
      </c>
      <c r="R348" s="188">
        <v>1000000</v>
      </c>
      <c r="S348" s="162">
        <v>1.8555800000000001E-2</v>
      </c>
    </row>
    <row r="349" spans="1:19" ht="15" x14ac:dyDescent="0.25">
      <c r="A349" t="s">
        <v>253</v>
      </c>
      <c r="B349" s="156" t="s">
        <v>362</v>
      </c>
      <c r="C349" s="156" t="s">
        <v>362</v>
      </c>
      <c r="D349" s="156" t="s">
        <v>362</v>
      </c>
      <c r="E349" s="157" t="s">
        <v>362</v>
      </c>
      <c r="F349" s="157" t="s">
        <v>362</v>
      </c>
      <c r="G349" s="157" t="s">
        <v>362</v>
      </c>
      <c r="H349" s="161" t="s">
        <v>362</v>
      </c>
      <c r="I349" s="157" t="s">
        <v>362</v>
      </c>
      <c r="J349" s="181" t="s">
        <v>362</v>
      </c>
      <c r="K349" s="159" t="s">
        <v>362</v>
      </c>
      <c r="L349" s="159" t="s">
        <v>362</v>
      </c>
      <c r="M349" s="157" t="s">
        <v>362</v>
      </c>
      <c r="N349" s="157" t="s">
        <v>362</v>
      </c>
      <c r="O349" s="157" t="s">
        <v>362</v>
      </c>
      <c r="P349" s="164" t="s">
        <v>362</v>
      </c>
      <c r="Q349" s="183">
        <v>10</v>
      </c>
      <c r="R349" s="188">
        <v>10000</v>
      </c>
      <c r="S349">
        <v>4470000000</v>
      </c>
    </row>
    <row r="350" spans="1:19" ht="15" x14ac:dyDescent="0.25">
      <c r="A350" t="s">
        <v>26</v>
      </c>
      <c r="B350" s="156">
        <v>0.02</v>
      </c>
      <c r="C350" s="156">
        <v>0.02</v>
      </c>
      <c r="D350" s="156">
        <v>30</v>
      </c>
      <c r="E350" s="157">
        <v>0.4</v>
      </c>
      <c r="F350" s="157">
        <v>0.4</v>
      </c>
      <c r="G350" s="157">
        <v>1200</v>
      </c>
      <c r="H350" s="158" t="s">
        <v>358</v>
      </c>
      <c r="I350" s="157">
        <v>0.02</v>
      </c>
      <c r="J350" s="181">
        <v>20000000000</v>
      </c>
      <c r="K350" s="159">
        <v>20000000000</v>
      </c>
      <c r="L350" s="159">
        <v>30000000000000</v>
      </c>
      <c r="M350" s="157">
        <v>400000000000</v>
      </c>
      <c r="N350" s="157">
        <v>400000000000</v>
      </c>
      <c r="O350" s="157">
        <v>1200000000000000</v>
      </c>
      <c r="P350" s="156">
        <v>20000000000</v>
      </c>
      <c r="Q350" s="183">
        <v>10</v>
      </c>
      <c r="R350" s="188">
        <v>100000</v>
      </c>
      <c r="S350" t="e">
        <v>#N/A</v>
      </c>
    </row>
    <row r="351" spans="1:19" ht="15" x14ac:dyDescent="0.25">
      <c r="A351" t="s">
        <v>456</v>
      </c>
      <c r="B351" s="156">
        <v>2000</v>
      </c>
      <c r="C351" s="156" t="s">
        <v>362</v>
      </c>
      <c r="D351" s="156">
        <v>2000</v>
      </c>
      <c r="E351" s="157">
        <v>40</v>
      </c>
      <c r="F351" s="157">
        <v>40</v>
      </c>
      <c r="G351" s="157">
        <v>120000</v>
      </c>
      <c r="H351" s="158" t="s">
        <v>358</v>
      </c>
      <c r="I351" s="157">
        <v>2000</v>
      </c>
      <c r="J351" s="181">
        <v>2000000000000000</v>
      </c>
      <c r="K351" s="159" t="s">
        <v>362</v>
      </c>
      <c r="L351" s="159">
        <v>2000000000000000</v>
      </c>
      <c r="M351" s="157">
        <v>40000000000000</v>
      </c>
      <c r="N351" s="157">
        <v>40000000000000</v>
      </c>
      <c r="O351" s="157">
        <v>1.2E+17</v>
      </c>
      <c r="P351" s="156">
        <v>2000000000000000</v>
      </c>
      <c r="Q351" s="183">
        <v>10000</v>
      </c>
      <c r="R351" s="188">
        <v>10000000</v>
      </c>
      <c r="S351" t="e">
        <v>#N/A</v>
      </c>
    </row>
    <row r="352" spans="1:19" ht="15" x14ac:dyDescent="0.25">
      <c r="A352" t="s">
        <v>457</v>
      </c>
      <c r="B352" s="156">
        <v>0.9</v>
      </c>
      <c r="C352" s="156">
        <v>0.9</v>
      </c>
      <c r="D352" s="156">
        <v>600</v>
      </c>
      <c r="E352" s="157">
        <v>9</v>
      </c>
      <c r="F352" s="157">
        <v>5</v>
      </c>
      <c r="G352" s="157">
        <v>15000</v>
      </c>
      <c r="H352" s="158" t="s">
        <v>358</v>
      </c>
      <c r="I352" s="157">
        <v>0.9</v>
      </c>
      <c r="J352" s="181">
        <v>900000000000</v>
      </c>
      <c r="K352" s="159">
        <v>900000000000</v>
      </c>
      <c r="L352" s="159">
        <v>600000000000000</v>
      </c>
      <c r="M352" s="157">
        <v>9000000000000</v>
      </c>
      <c r="N352" s="157">
        <v>5000000000000</v>
      </c>
      <c r="O352" s="157">
        <v>1.5E+16</v>
      </c>
      <c r="P352" s="156">
        <v>900000000000</v>
      </c>
      <c r="Q352" s="183">
        <v>10</v>
      </c>
      <c r="R352" s="188">
        <v>1000000</v>
      </c>
      <c r="S352" t="e">
        <v>#N/A</v>
      </c>
    </row>
    <row r="353" spans="1:19" ht="15" x14ac:dyDescent="0.25">
      <c r="A353" t="s">
        <v>151</v>
      </c>
      <c r="B353" s="156">
        <v>5</v>
      </c>
      <c r="C353" s="156">
        <v>5</v>
      </c>
      <c r="D353" s="156">
        <v>2000</v>
      </c>
      <c r="E353" s="157">
        <v>30</v>
      </c>
      <c r="F353" s="157">
        <v>30</v>
      </c>
      <c r="G353" s="157">
        <v>90000</v>
      </c>
      <c r="H353" s="158" t="s">
        <v>358</v>
      </c>
      <c r="I353" s="157">
        <v>5</v>
      </c>
      <c r="J353" s="181">
        <v>5000000000000</v>
      </c>
      <c r="K353" s="159">
        <v>5000000000000</v>
      </c>
      <c r="L353" s="159">
        <v>2000000000000000</v>
      </c>
      <c r="M353" s="157">
        <v>30000000000000</v>
      </c>
      <c r="N353" s="157">
        <v>30000000000000</v>
      </c>
      <c r="O353" s="157">
        <v>9E+16</v>
      </c>
      <c r="P353" s="156">
        <v>5000000000000</v>
      </c>
      <c r="Q353" s="183">
        <v>1000</v>
      </c>
      <c r="R353" s="188">
        <v>10000000</v>
      </c>
      <c r="S353">
        <v>0.33150684931506802</v>
      </c>
    </row>
    <row r="354" spans="1:19" ht="15" x14ac:dyDescent="0.25">
      <c r="A354" t="s">
        <v>152</v>
      </c>
      <c r="B354" s="156">
        <v>100</v>
      </c>
      <c r="C354" s="156">
        <v>700</v>
      </c>
      <c r="D354" s="156">
        <v>100</v>
      </c>
      <c r="E354" s="157">
        <v>40</v>
      </c>
      <c r="F354" s="157">
        <v>0.8</v>
      </c>
      <c r="G354" s="157">
        <v>2400</v>
      </c>
      <c r="H354" s="158" t="s">
        <v>358</v>
      </c>
      <c r="I354" s="157">
        <v>100</v>
      </c>
      <c r="J354" s="181">
        <v>100000000000000</v>
      </c>
      <c r="K354" s="159">
        <v>700000000000000</v>
      </c>
      <c r="L354" s="159">
        <v>100000000000000</v>
      </c>
      <c r="M354" s="157">
        <v>40000000000000</v>
      </c>
      <c r="N354" s="157">
        <v>800000000000</v>
      </c>
      <c r="O354" s="157">
        <v>2400000000000000</v>
      </c>
      <c r="P354" s="156">
        <v>100000000000000</v>
      </c>
      <c r="Q354" s="183">
        <v>10000</v>
      </c>
      <c r="R354" s="188">
        <v>10000000</v>
      </c>
      <c r="S354">
        <v>0.20561259411362001</v>
      </c>
    </row>
    <row r="355" spans="1:19" ht="15" x14ac:dyDescent="0.25">
      <c r="A355" t="s">
        <v>153</v>
      </c>
      <c r="B355" s="156">
        <v>0.1</v>
      </c>
      <c r="C355" s="156">
        <v>0.1</v>
      </c>
      <c r="D355" s="156">
        <v>30</v>
      </c>
      <c r="E355" s="157">
        <v>2</v>
      </c>
      <c r="F355" s="157">
        <v>0.6</v>
      </c>
      <c r="G355" s="157">
        <v>1800</v>
      </c>
      <c r="H355" s="158" t="s">
        <v>358</v>
      </c>
      <c r="I355" s="157">
        <v>0.1</v>
      </c>
      <c r="J355" s="181">
        <v>100000000000</v>
      </c>
      <c r="K355" s="159">
        <v>100000000000</v>
      </c>
      <c r="L355" s="159">
        <v>30000000000000</v>
      </c>
      <c r="M355" s="157">
        <v>2000000000000</v>
      </c>
      <c r="N355" s="157">
        <v>600000000000</v>
      </c>
      <c r="O355" s="157">
        <v>1800000000000000</v>
      </c>
      <c r="P355" s="156">
        <v>100000000000</v>
      </c>
      <c r="Q355" s="183">
        <v>100</v>
      </c>
      <c r="R355" s="188">
        <v>1000000</v>
      </c>
      <c r="S355" t="e">
        <v>#N/A</v>
      </c>
    </row>
    <row r="356" spans="1:19" ht="15" x14ac:dyDescent="0.25">
      <c r="A356" t="s">
        <v>264</v>
      </c>
      <c r="B356" s="156">
        <v>1</v>
      </c>
      <c r="C356" s="156">
        <v>1</v>
      </c>
      <c r="D356" s="156">
        <v>8</v>
      </c>
      <c r="E356" s="157">
        <v>0.4</v>
      </c>
      <c r="F356" s="157">
        <v>0.3</v>
      </c>
      <c r="G356" s="157">
        <v>900</v>
      </c>
      <c r="H356" s="158" t="s">
        <v>358</v>
      </c>
      <c r="I356" s="157">
        <v>1</v>
      </c>
      <c r="J356" s="181">
        <v>1000000000000</v>
      </c>
      <c r="K356" s="159">
        <v>1000000000000</v>
      </c>
      <c r="L356" s="159">
        <v>8000000000000</v>
      </c>
      <c r="M356" s="157">
        <v>400000000000</v>
      </c>
      <c r="N356" s="157">
        <v>300000000000</v>
      </c>
      <c r="O356" s="157">
        <v>900000000000000</v>
      </c>
      <c r="P356" s="156">
        <v>1000000000000</v>
      </c>
      <c r="Q356" s="183">
        <v>100</v>
      </c>
      <c r="R356" s="188">
        <v>100000</v>
      </c>
      <c r="S356">
        <v>0.19000684462696699</v>
      </c>
    </row>
    <row r="357" spans="1:19" ht="15" x14ac:dyDescent="0.25">
      <c r="A357" t="s">
        <v>458</v>
      </c>
      <c r="B357" s="156">
        <v>0.06</v>
      </c>
      <c r="C357" s="156">
        <v>0.06</v>
      </c>
      <c r="D357" s="156">
        <v>4</v>
      </c>
      <c r="E357" s="157">
        <v>0.4</v>
      </c>
      <c r="F357" s="157">
        <v>0.4</v>
      </c>
      <c r="G357" s="157">
        <v>1200</v>
      </c>
      <c r="H357" s="158" t="s">
        <v>358</v>
      </c>
      <c r="I357" s="157">
        <v>0.06</v>
      </c>
      <c r="J357" s="181">
        <v>60000000000</v>
      </c>
      <c r="K357" s="159">
        <v>60000000000</v>
      </c>
      <c r="L357" s="159">
        <v>4000000000000</v>
      </c>
      <c r="M357" s="157">
        <v>400000000000</v>
      </c>
      <c r="N357" s="157">
        <v>400000000000</v>
      </c>
      <c r="O357" s="157">
        <v>1200000000000000</v>
      </c>
      <c r="P357" s="156">
        <v>60000000000</v>
      </c>
      <c r="Q357" s="183">
        <v>100</v>
      </c>
      <c r="R357" s="188">
        <v>1000000000</v>
      </c>
      <c r="S357" t="e">
        <v>#N/A</v>
      </c>
    </row>
    <row r="358" spans="1:19" ht="15" x14ac:dyDescent="0.25">
      <c r="A358" t="s">
        <v>459</v>
      </c>
      <c r="B358" s="156">
        <v>0.09</v>
      </c>
      <c r="C358" s="156">
        <v>0.09</v>
      </c>
      <c r="D358" s="156">
        <v>5</v>
      </c>
      <c r="E358" s="157">
        <v>2</v>
      </c>
      <c r="F358" s="157">
        <v>0.7</v>
      </c>
      <c r="G358" s="157">
        <v>2100</v>
      </c>
      <c r="H358" s="158" t="s">
        <v>358</v>
      </c>
      <c r="I358" s="157">
        <v>0.09</v>
      </c>
      <c r="J358" s="181">
        <v>90000000000</v>
      </c>
      <c r="K358" s="159">
        <v>90000000000</v>
      </c>
      <c r="L358" s="159">
        <v>5000000000000</v>
      </c>
      <c r="M358" s="157">
        <v>2000000000000</v>
      </c>
      <c r="N358" s="157">
        <v>700000000000</v>
      </c>
      <c r="O358" s="157">
        <v>2100000000000000</v>
      </c>
      <c r="P358" s="156">
        <v>90000000000</v>
      </c>
      <c r="Q358" s="183">
        <v>100</v>
      </c>
      <c r="R358" s="188">
        <v>1000000000</v>
      </c>
      <c r="S358" t="e">
        <v>#N/A</v>
      </c>
    </row>
    <row r="359" spans="1:19" ht="15" x14ac:dyDescent="0.25">
      <c r="A359" t="s">
        <v>460</v>
      </c>
      <c r="B359" s="156">
        <v>0.3</v>
      </c>
      <c r="C359" s="156">
        <v>0.3</v>
      </c>
      <c r="D359" s="156">
        <v>20</v>
      </c>
      <c r="E359" s="157">
        <v>4</v>
      </c>
      <c r="F359" s="157">
        <v>2</v>
      </c>
      <c r="G359" s="157">
        <v>6000</v>
      </c>
      <c r="H359" s="158" t="s">
        <v>358</v>
      </c>
      <c r="I359" s="157">
        <v>0.3</v>
      </c>
      <c r="J359" s="181">
        <v>300000000000</v>
      </c>
      <c r="K359" s="159">
        <v>300000000000</v>
      </c>
      <c r="L359" s="159">
        <v>20000000000000</v>
      </c>
      <c r="M359" s="157">
        <v>4000000000000</v>
      </c>
      <c r="N359" s="157">
        <v>2000000000000</v>
      </c>
      <c r="O359" s="157">
        <v>6000000000000000</v>
      </c>
      <c r="P359" s="156">
        <v>300000000000</v>
      </c>
      <c r="Q359" s="183">
        <v>1000</v>
      </c>
      <c r="R359" s="188">
        <v>100000</v>
      </c>
      <c r="S359" t="e">
        <v>#N/A</v>
      </c>
    </row>
    <row r="360" spans="1:19" ht="15" x14ac:dyDescent="0.25">
      <c r="A360" t="s">
        <v>110</v>
      </c>
      <c r="B360" s="156">
        <v>10</v>
      </c>
      <c r="C360" s="156">
        <v>10</v>
      </c>
      <c r="D360" s="156">
        <v>700</v>
      </c>
      <c r="E360" s="157">
        <v>40</v>
      </c>
      <c r="F360" s="157">
        <v>40</v>
      </c>
      <c r="G360" s="157">
        <v>120000</v>
      </c>
      <c r="H360" s="158" t="s">
        <v>358</v>
      </c>
      <c r="I360" s="157">
        <v>10</v>
      </c>
      <c r="J360" s="181">
        <v>10000000000000</v>
      </c>
      <c r="K360" s="159">
        <v>10000000000000</v>
      </c>
      <c r="L360" s="159">
        <v>700000000000000</v>
      </c>
      <c r="M360" s="157">
        <v>40000000000000</v>
      </c>
      <c r="N360" s="157">
        <v>40000000000000</v>
      </c>
      <c r="O360" s="157">
        <v>1.2E+17</v>
      </c>
      <c r="P360" s="156">
        <v>10000000000000</v>
      </c>
      <c r="Q360" s="183">
        <v>10000</v>
      </c>
      <c r="R360" s="188">
        <v>10000</v>
      </c>
      <c r="S360" t="e">
        <v>#N/A</v>
      </c>
    </row>
    <row r="361" spans="1:19" ht="15" x14ac:dyDescent="0.25">
      <c r="A361" t="s">
        <v>111</v>
      </c>
      <c r="B361" s="156">
        <v>3</v>
      </c>
      <c r="C361" s="156">
        <v>3</v>
      </c>
      <c r="D361" s="156">
        <v>200</v>
      </c>
      <c r="E361" s="157">
        <v>20</v>
      </c>
      <c r="F361" s="157">
        <v>10</v>
      </c>
      <c r="G361" s="157">
        <v>30000</v>
      </c>
      <c r="H361" s="158" t="s">
        <v>358</v>
      </c>
      <c r="I361" s="157">
        <v>3</v>
      </c>
      <c r="J361" s="181">
        <v>3000000000000</v>
      </c>
      <c r="K361" s="159">
        <v>3000000000000</v>
      </c>
      <c r="L361" s="159">
        <v>200000000000000</v>
      </c>
      <c r="M361" s="157">
        <v>20000000000000</v>
      </c>
      <c r="N361" s="157">
        <v>10000000000000</v>
      </c>
      <c r="O361" s="157">
        <v>3E+16</v>
      </c>
      <c r="P361" s="156">
        <v>3000000000000</v>
      </c>
      <c r="Q361" s="183">
        <v>1000</v>
      </c>
      <c r="R361" s="188">
        <v>10000</v>
      </c>
      <c r="S361">
        <v>1.43463381245722E-2</v>
      </c>
    </row>
    <row r="362" spans="1:19" ht="15" x14ac:dyDescent="0.25">
      <c r="A362" t="s">
        <v>112</v>
      </c>
      <c r="B362" s="156">
        <v>0.3</v>
      </c>
      <c r="C362" s="156">
        <v>0.3</v>
      </c>
      <c r="D362" s="156">
        <v>20</v>
      </c>
      <c r="E362" s="157">
        <v>3</v>
      </c>
      <c r="F362" s="157">
        <v>2</v>
      </c>
      <c r="G362" s="157">
        <v>6000</v>
      </c>
      <c r="H362" s="158" t="s">
        <v>358</v>
      </c>
      <c r="I362" s="157">
        <v>0.3</v>
      </c>
      <c r="J362" s="181">
        <v>300000000000</v>
      </c>
      <c r="K362" s="159">
        <v>300000000000</v>
      </c>
      <c r="L362" s="159">
        <v>20000000000000</v>
      </c>
      <c r="M362" s="157">
        <v>3000000000000</v>
      </c>
      <c r="N362" s="157">
        <v>2000000000000</v>
      </c>
      <c r="O362" s="157">
        <v>6000000000000000</v>
      </c>
      <c r="P362" s="156">
        <v>300000000000</v>
      </c>
      <c r="Q362" s="183">
        <v>1000</v>
      </c>
      <c r="R362" s="188">
        <v>10000000000</v>
      </c>
      <c r="S362" t="e">
        <v>#N/A</v>
      </c>
    </row>
    <row r="363" spans="1:19" ht="15" x14ac:dyDescent="0.25">
      <c r="A363" t="s">
        <v>461</v>
      </c>
      <c r="B363" s="156">
        <v>0.09</v>
      </c>
      <c r="C363" s="156">
        <v>0.09</v>
      </c>
      <c r="D363" s="156">
        <v>200</v>
      </c>
      <c r="E363" s="157">
        <v>1</v>
      </c>
      <c r="F363" s="157">
        <v>1</v>
      </c>
      <c r="G363" s="157">
        <v>3000</v>
      </c>
      <c r="H363" s="158" t="s">
        <v>358</v>
      </c>
      <c r="I363" s="157">
        <v>0.09</v>
      </c>
      <c r="J363" s="181">
        <v>90000000000</v>
      </c>
      <c r="K363" s="159">
        <v>90000000000</v>
      </c>
      <c r="L363" s="159">
        <v>200000000000000</v>
      </c>
      <c r="M363" s="157">
        <v>1000000000000</v>
      </c>
      <c r="N363" s="157">
        <v>1000000000000</v>
      </c>
      <c r="O363" s="157">
        <v>3000000000000000</v>
      </c>
      <c r="P363" s="156">
        <v>90000000000</v>
      </c>
      <c r="Q363" s="183">
        <v>10</v>
      </c>
      <c r="R363" s="188">
        <v>1000000</v>
      </c>
      <c r="S363" t="e">
        <v>#N/A</v>
      </c>
    </row>
    <row r="364" spans="1:19" ht="15" x14ac:dyDescent="0.25">
      <c r="A364" t="s">
        <v>331</v>
      </c>
      <c r="B364" s="156">
        <v>0.03</v>
      </c>
      <c r="C364" s="156">
        <v>0.03</v>
      </c>
      <c r="D364" s="156">
        <v>20</v>
      </c>
      <c r="E364" s="157">
        <v>0.4</v>
      </c>
      <c r="F364" s="157">
        <v>0.4</v>
      </c>
      <c r="G364" s="157">
        <v>1200</v>
      </c>
      <c r="H364" s="158" t="s">
        <v>358</v>
      </c>
      <c r="I364" s="157">
        <v>0.03</v>
      </c>
      <c r="J364" s="181">
        <v>30000000000</v>
      </c>
      <c r="K364" s="159">
        <v>30000000000</v>
      </c>
      <c r="L364" s="159">
        <v>20000000000000</v>
      </c>
      <c r="M364" s="157">
        <v>400000000000</v>
      </c>
      <c r="N364" s="157">
        <v>400000000000</v>
      </c>
      <c r="O364" s="157">
        <v>1200000000000000</v>
      </c>
      <c r="P364" s="156">
        <v>30000000000</v>
      </c>
      <c r="Q364" s="183">
        <v>10</v>
      </c>
      <c r="R364" s="188">
        <v>1000000</v>
      </c>
      <c r="S364">
        <v>0.29170000000000001</v>
      </c>
    </row>
    <row r="365" spans="1:19" ht="15" x14ac:dyDescent="0.25">
      <c r="A365" t="s">
        <v>66</v>
      </c>
      <c r="B365" s="156">
        <v>5</v>
      </c>
      <c r="C365" s="156">
        <v>5</v>
      </c>
      <c r="D365" s="156">
        <v>10</v>
      </c>
      <c r="E365" s="157">
        <v>0.3</v>
      </c>
      <c r="F365" s="157">
        <v>0.3</v>
      </c>
      <c r="G365" s="157">
        <v>900</v>
      </c>
      <c r="H365" s="158" t="s">
        <v>358</v>
      </c>
      <c r="I365" s="157">
        <v>5</v>
      </c>
      <c r="J365" s="181">
        <v>5000000000000</v>
      </c>
      <c r="K365" s="159">
        <v>5000000000000</v>
      </c>
      <c r="L365" s="159">
        <v>10000000000000</v>
      </c>
      <c r="M365" s="157">
        <v>300000000000</v>
      </c>
      <c r="N365" s="157">
        <v>300000000000</v>
      </c>
      <c r="O365" s="157">
        <v>900000000000000</v>
      </c>
      <c r="P365" s="156">
        <v>5000000000000</v>
      </c>
      <c r="Q365" s="183">
        <v>1000</v>
      </c>
      <c r="R365" s="188">
        <v>100000</v>
      </c>
      <c r="S365">
        <v>7.3100616016426997E-3</v>
      </c>
    </row>
    <row r="366" spans="1:19" ht="15" x14ac:dyDescent="0.25">
      <c r="A366" t="s">
        <v>67</v>
      </c>
      <c r="B366" s="156">
        <v>8</v>
      </c>
      <c r="C366" s="156">
        <v>8</v>
      </c>
      <c r="D366" s="156">
        <v>20</v>
      </c>
      <c r="E366" s="157">
        <v>0.6</v>
      </c>
      <c r="F366" s="157">
        <v>0.6</v>
      </c>
      <c r="G366" s="157">
        <v>1800</v>
      </c>
      <c r="H366" s="158" t="s">
        <v>358</v>
      </c>
      <c r="I366" s="157">
        <v>8</v>
      </c>
      <c r="J366" s="181">
        <v>8000000000000</v>
      </c>
      <c r="K366" s="159">
        <v>8000000000000</v>
      </c>
      <c r="L366" s="159">
        <v>20000000000000</v>
      </c>
      <c r="M366" s="157">
        <v>600000000000</v>
      </c>
      <c r="N366" s="157">
        <v>600000000000</v>
      </c>
      <c r="O366" s="157">
        <v>1800000000000000</v>
      </c>
      <c r="P366" s="156">
        <v>8000000000000</v>
      </c>
      <c r="Q366" s="183">
        <v>1000</v>
      </c>
      <c r="R366" s="188">
        <v>1000000</v>
      </c>
      <c r="S366" t="e">
        <v>#N/A</v>
      </c>
    </row>
    <row r="367" spans="1:19" ht="15" x14ac:dyDescent="0.25">
      <c r="A367" t="s">
        <v>68</v>
      </c>
      <c r="B367" s="156">
        <v>0.1</v>
      </c>
      <c r="C367" s="156">
        <v>0.1</v>
      </c>
      <c r="D367" s="156">
        <v>200</v>
      </c>
      <c r="E367" s="157">
        <v>2</v>
      </c>
      <c r="F367" s="157">
        <v>2</v>
      </c>
      <c r="G367" s="157">
        <v>6000</v>
      </c>
      <c r="H367" s="158" t="s">
        <v>358</v>
      </c>
      <c r="I367" s="157">
        <v>0.1</v>
      </c>
      <c r="J367" s="181">
        <v>100000000000</v>
      </c>
      <c r="K367" s="159">
        <v>100000000000</v>
      </c>
      <c r="L367" s="159">
        <v>200000000000000</v>
      </c>
      <c r="M367" s="157">
        <v>2000000000000</v>
      </c>
      <c r="N367" s="157">
        <v>2000000000000</v>
      </c>
      <c r="O367" s="157">
        <v>6000000000000000</v>
      </c>
      <c r="P367" s="156">
        <v>100000000000</v>
      </c>
      <c r="Q367" s="183">
        <v>100</v>
      </c>
      <c r="R367" s="188">
        <v>1000000</v>
      </c>
      <c r="S367" t="e">
        <v>#N/A</v>
      </c>
    </row>
    <row r="368" spans="1:19" ht="15" x14ac:dyDescent="0.25">
      <c r="A368" t="s">
        <v>69</v>
      </c>
      <c r="B368" s="156">
        <v>0.2</v>
      </c>
      <c r="C368" s="156">
        <v>0.2</v>
      </c>
      <c r="D368" s="156">
        <v>10</v>
      </c>
      <c r="E368" s="157">
        <v>0.2</v>
      </c>
      <c r="F368" s="157">
        <v>0.2</v>
      </c>
      <c r="G368" s="157">
        <v>600</v>
      </c>
      <c r="H368" s="158" t="s">
        <v>358</v>
      </c>
      <c r="I368" s="157">
        <v>0.2</v>
      </c>
      <c r="J368" s="181">
        <v>200000000000</v>
      </c>
      <c r="K368" s="159">
        <v>200000000000</v>
      </c>
      <c r="L368" s="159">
        <v>10000000000000</v>
      </c>
      <c r="M368" s="157">
        <v>200000000000</v>
      </c>
      <c r="N368" s="157">
        <v>200000000000</v>
      </c>
      <c r="O368" s="157">
        <v>600000000000000</v>
      </c>
      <c r="P368" s="156">
        <v>200000000000</v>
      </c>
      <c r="Q368" s="183">
        <v>100</v>
      </c>
      <c r="R368" s="188">
        <v>100000</v>
      </c>
      <c r="S368" t="e">
        <v>#N/A</v>
      </c>
    </row>
    <row r="369" spans="1:19" ht="15" x14ac:dyDescent="0.25">
      <c r="A369" t="s">
        <v>70</v>
      </c>
      <c r="B369" s="156">
        <v>0.6</v>
      </c>
      <c r="C369" s="156">
        <v>0.6</v>
      </c>
      <c r="D369" s="156">
        <v>10</v>
      </c>
      <c r="E369" s="157">
        <v>0.3</v>
      </c>
      <c r="F369" s="157">
        <v>0.3</v>
      </c>
      <c r="G369" s="157">
        <v>900</v>
      </c>
      <c r="H369" s="158" t="s">
        <v>358</v>
      </c>
      <c r="I369" s="157">
        <v>0.6</v>
      </c>
      <c r="J369" s="181">
        <v>600000000000</v>
      </c>
      <c r="K369" s="159">
        <v>600000000000</v>
      </c>
      <c r="L369" s="159">
        <v>10000000000000</v>
      </c>
      <c r="M369" s="157">
        <v>300000000000</v>
      </c>
      <c r="N369" s="157">
        <v>300000000000</v>
      </c>
      <c r="O369" s="157">
        <v>900000000000000</v>
      </c>
      <c r="P369" s="156">
        <v>600000000000</v>
      </c>
      <c r="Q369" s="183">
        <v>100</v>
      </c>
      <c r="R369" s="188">
        <v>100000</v>
      </c>
      <c r="S369" t="e">
        <v>#N/A</v>
      </c>
    </row>
    <row r="370" spans="1:19" ht="15" x14ac:dyDescent="0.25">
      <c r="A370" t="s">
        <v>265</v>
      </c>
      <c r="B370" s="156">
        <v>0.3</v>
      </c>
      <c r="C370" s="156">
        <v>0.3</v>
      </c>
      <c r="D370" s="156">
        <v>30</v>
      </c>
      <c r="E370" s="157">
        <v>4</v>
      </c>
      <c r="F370" s="157">
        <v>1</v>
      </c>
      <c r="G370" s="160">
        <v>3</v>
      </c>
      <c r="H370" s="158" t="s">
        <v>361</v>
      </c>
      <c r="I370" s="163">
        <v>0.3</v>
      </c>
      <c r="J370" s="181">
        <v>300000000000</v>
      </c>
      <c r="K370" s="159">
        <v>300000000000</v>
      </c>
      <c r="L370" s="159">
        <v>30000000000000</v>
      </c>
      <c r="M370" s="157">
        <v>4000000000000</v>
      </c>
      <c r="N370" s="157">
        <v>1000000000000</v>
      </c>
      <c r="O370" s="157">
        <v>3000000000000</v>
      </c>
      <c r="P370" s="156">
        <v>300000000000</v>
      </c>
      <c r="Q370" s="183">
        <v>100</v>
      </c>
      <c r="R370" s="188">
        <v>10000000</v>
      </c>
      <c r="S370">
        <v>8.7611225188227199E-2</v>
      </c>
    </row>
    <row r="371" spans="1:19" ht="15" x14ac:dyDescent="0.25">
      <c r="A371" t="s">
        <v>147</v>
      </c>
      <c r="B371" s="156">
        <v>2</v>
      </c>
      <c r="C371" s="156">
        <v>2</v>
      </c>
      <c r="D371" s="156">
        <v>100</v>
      </c>
      <c r="E371" s="157">
        <v>30</v>
      </c>
      <c r="F371" s="157">
        <v>0.9</v>
      </c>
      <c r="G371" s="157">
        <v>2700</v>
      </c>
      <c r="H371" s="158" t="s">
        <v>358</v>
      </c>
      <c r="I371" s="157">
        <v>2</v>
      </c>
      <c r="J371" s="181">
        <v>2000000000000</v>
      </c>
      <c r="K371" s="159">
        <v>2000000000000</v>
      </c>
      <c r="L371" s="159">
        <v>100000000000000</v>
      </c>
      <c r="M371" s="157">
        <v>30000000000000</v>
      </c>
      <c r="N371" s="157">
        <v>900000000000</v>
      </c>
      <c r="O371" s="157">
        <v>2700000000000000</v>
      </c>
      <c r="P371" s="156">
        <v>2000000000000</v>
      </c>
      <c r="Q371" s="183">
        <v>1000</v>
      </c>
      <c r="R371" s="188">
        <v>10000000</v>
      </c>
      <c r="S371" t="e">
        <v>#N/A</v>
      </c>
    </row>
    <row r="372" spans="1:19" ht="15" x14ac:dyDescent="0.25">
      <c r="A372" t="s">
        <v>44</v>
      </c>
      <c r="B372" s="156">
        <v>0.1</v>
      </c>
      <c r="C372" s="156">
        <v>0.1</v>
      </c>
      <c r="D372" s="156">
        <v>300</v>
      </c>
      <c r="E372" s="157">
        <v>2</v>
      </c>
      <c r="F372" s="157">
        <v>2</v>
      </c>
      <c r="G372" s="157">
        <v>6000</v>
      </c>
      <c r="H372" s="158" t="s">
        <v>358</v>
      </c>
      <c r="I372" s="157">
        <v>0.1</v>
      </c>
      <c r="J372" s="181">
        <v>100000000000</v>
      </c>
      <c r="K372" s="159">
        <v>100000000000</v>
      </c>
      <c r="L372" s="159">
        <v>300000000000000</v>
      </c>
      <c r="M372" s="157">
        <v>2000000000000</v>
      </c>
      <c r="N372" s="157">
        <v>2000000000000</v>
      </c>
      <c r="O372" s="157">
        <v>6000000000000000</v>
      </c>
      <c r="P372" s="156">
        <v>100000000000</v>
      </c>
      <c r="Q372" s="183">
        <v>10</v>
      </c>
      <c r="R372" s="188">
        <v>1000000</v>
      </c>
      <c r="S372">
        <v>0.668035592060232</v>
      </c>
    </row>
    <row r="373" spans="1:19" ht="15" x14ac:dyDescent="0.25">
      <c r="A373" t="s">
        <v>45</v>
      </c>
      <c r="B373" s="156">
        <v>30</v>
      </c>
      <c r="C373" s="156">
        <v>80</v>
      </c>
      <c r="D373" s="156">
        <v>30</v>
      </c>
      <c r="E373" s="157">
        <v>3</v>
      </c>
      <c r="F373" s="157">
        <v>0.6</v>
      </c>
      <c r="G373" s="157">
        <v>1800</v>
      </c>
      <c r="H373" s="158" t="s">
        <v>358</v>
      </c>
      <c r="I373" s="157">
        <v>30</v>
      </c>
      <c r="J373" s="181">
        <v>30000000000000</v>
      </c>
      <c r="K373" s="159">
        <v>80000000000000</v>
      </c>
      <c r="L373" s="159">
        <v>30000000000000</v>
      </c>
      <c r="M373" s="157">
        <v>3000000000000</v>
      </c>
      <c r="N373" s="157">
        <v>600000000000</v>
      </c>
      <c r="O373" s="157">
        <v>1800000000000000</v>
      </c>
      <c r="P373" s="156">
        <v>30000000000000</v>
      </c>
      <c r="Q373" s="183">
        <v>10000</v>
      </c>
      <c r="R373" s="188">
        <v>1000000</v>
      </c>
      <c r="S373">
        <v>1.08373260324E-4</v>
      </c>
    </row>
    <row r="374" spans="1:19" ht="15" x14ac:dyDescent="0.25">
      <c r="A374" t="s">
        <v>46</v>
      </c>
      <c r="B374" s="156">
        <v>0.2</v>
      </c>
      <c r="C374" s="156">
        <v>0.2</v>
      </c>
      <c r="D374" s="156">
        <v>20</v>
      </c>
      <c r="E374" s="157">
        <v>3</v>
      </c>
      <c r="F374" s="157">
        <v>0.6</v>
      </c>
      <c r="G374" s="157">
        <v>1800</v>
      </c>
      <c r="H374" s="158" t="s">
        <v>358</v>
      </c>
      <c r="I374" s="157">
        <v>0.2</v>
      </c>
      <c r="J374" s="181">
        <v>200000000000</v>
      </c>
      <c r="K374" s="159">
        <v>200000000000</v>
      </c>
      <c r="L374" s="159">
        <v>20000000000000</v>
      </c>
      <c r="M374" s="157">
        <v>3000000000000</v>
      </c>
      <c r="N374" s="157">
        <v>600000000000</v>
      </c>
      <c r="O374" s="157">
        <v>1800000000000000</v>
      </c>
      <c r="P374" s="156">
        <v>200000000000</v>
      </c>
      <c r="Q374" s="183">
        <v>100</v>
      </c>
      <c r="R374" s="188">
        <v>1000000</v>
      </c>
      <c r="S374" t="e">
        <v>#N/A</v>
      </c>
    </row>
    <row r="375" spans="1:19" ht="15" x14ac:dyDescent="0.25">
      <c r="A375" t="s">
        <v>462</v>
      </c>
      <c r="B375" s="156">
        <v>0.02</v>
      </c>
      <c r="C375" s="156">
        <v>0.02</v>
      </c>
      <c r="D375" s="156">
        <v>30</v>
      </c>
      <c r="E375" s="157">
        <v>3</v>
      </c>
      <c r="F375" s="157">
        <v>3</v>
      </c>
      <c r="G375" s="157">
        <v>9000</v>
      </c>
      <c r="H375" s="158" t="s">
        <v>358</v>
      </c>
      <c r="I375" s="157">
        <v>0.02</v>
      </c>
      <c r="J375" s="181">
        <v>20000000000</v>
      </c>
      <c r="K375" s="159">
        <v>20000000000</v>
      </c>
      <c r="L375" s="159">
        <v>30000000000000</v>
      </c>
      <c r="M375" s="157">
        <v>3000000000000</v>
      </c>
      <c r="N375" s="157">
        <v>3000000000000</v>
      </c>
      <c r="O375" s="157">
        <v>9000000000000000</v>
      </c>
      <c r="P375" s="156">
        <v>20000000000</v>
      </c>
      <c r="Q375" s="183">
        <v>100</v>
      </c>
      <c r="R375" s="188">
        <v>1000000</v>
      </c>
      <c r="S375" t="e">
        <v>#N/A</v>
      </c>
    </row>
    <row r="376" spans="1:19" ht="15" x14ac:dyDescent="0.25">
      <c r="A376" t="s">
        <v>233</v>
      </c>
      <c r="B376" s="156" t="s">
        <v>362</v>
      </c>
      <c r="C376" s="156" t="s">
        <v>362</v>
      </c>
      <c r="D376" s="156" t="s">
        <v>362</v>
      </c>
      <c r="E376" s="157" t="s">
        <v>362</v>
      </c>
      <c r="F376" s="157" t="s">
        <v>362</v>
      </c>
      <c r="G376" s="157" t="s">
        <v>362</v>
      </c>
      <c r="H376" s="161" t="s">
        <v>362</v>
      </c>
      <c r="I376" s="157" t="s">
        <v>362</v>
      </c>
      <c r="J376" s="181" t="s">
        <v>362</v>
      </c>
      <c r="K376" s="159" t="s">
        <v>362</v>
      </c>
      <c r="L376" s="159" t="s">
        <v>362</v>
      </c>
      <c r="M376" s="157" t="s">
        <v>362</v>
      </c>
      <c r="N376" s="157" t="s">
        <v>362</v>
      </c>
      <c r="O376" s="157" t="s">
        <v>362</v>
      </c>
      <c r="P376" s="164" t="s">
        <v>362</v>
      </c>
      <c r="Q376" s="183">
        <v>1000</v>
      </c>
      <c r="R376" s="188">
        <v>10000000</v>
      </c>
      <c r="S376" t="e">
        <v>#N/A</v>
      </c>
    </row>
    <row r="377" spans="1:19" ht="15" x14ac:dyDescent="0.25">
      <c r="A377" t="s">
        <v>71</v>
      </c>
      <c r="B377" s="156">
        <v>0.04</v>
      </c>
      <c r="C377" s="156">
        <v>0.04</v>
      </c>
      <c r="D377" s="156">
        <v>10</v>
      </c>
      <c r="E377" s="157">
        <v>2</v>
      </c>
      <c r="F377" s="157">
        <v>0.8</v>
      </c>
      <c r="G377" s="157">
        <v>2400</v>
      </c>
      <c r="H377" s="158" t="s">
        <v>358</v>
      </c>
      <c r="I377" s="157">
        <v>0.04</v>
      </c>
      <c r="J377" s="181">
        <v>40000000000</v>
      </c>
      <c r="K377" s="159">
        <v>40000000000</v>
      </c>
      <c r="L377" s="159">
        <v>10000000000000</v>
      </c>
      <c r="M377" s="157">
        <v>2000000000000</v>
      </c>
      <c r="N377" s="157">
        <v>800000000000</v>
      </c>
      <c r="O377" s="157">
        <v>2400000000000000</v>
      </c>
      <c r="P377" s="156">
        <v>40000000000</v>
      </c>
      <c r="Q377" s="183">
        <v>10</v>
      </c>
      <c r="R377" s="188">
        <v>1000000</v>
      </c>
      <c r="S377">
        <v>0.17522245037645401</v>
      </c>
    </row>
    <row r="378" spans="1:19" ht="15" x14ac:dyDescent="0.25">
      <c r="A378" t="s">
        <v>234</v>
      </c>
      <c r="B378" s="156">
        <v>0.04</v>
      </c>
      <c r="C378" s="156">
        <v>0.04</v>
      </c>
      <c r="D378" s="156">
        <v>9</v>
      </c>
      <c r="E378" s="157">
        <v>0.4</v>
      </c>
      <c r="F378" s="157">
        <v>0.4</v>
      </c>
      <c r="G378" s="157">
        <v>1200</v>
      </c>
      <c r="H378" s="158" t="s">
        <v>358</v>
      </c>
      <c r="I378" s="157">
        <v>0.04</v>
      </c>
      <c r="J378" s="181">
        <v>40000000000</v>
      </c>
      <c r="K378" s="159">
        <v>40000000000</v>
      </c>
      <c r="L378" s="159">
        <v>9000000000000</v>
      </c>
      <c r="M378" s="157">
        <v>400000000000</v>
      </c>
      <c r="N378" s="157">
        <v>400000000000</v>
      </c>
      <c r="O378" s="157">
        <v>1200000000000000</v>
      </c>
      <c r="P378" s="156">
        <v>40000000000</v>
      </c>
      <c r="Q378" s="183">
        <v>10</v>
      </c>
      <c r="R378" s="188">
        <v>100000</v>
      </c>
      <c r="S378" t="e">
        <v>#N/A</v>
      </c>
    </row>
  </sheetData>
  <autoFilter ref="A1:S372" xr:uid="{00000000-0009-0000-0000-000002000000}"/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Calculation of activity</vt:lpstr>
      <vt:lpstr>Classification of waste 1</vt:lpstr>
      <vt:lpstr>D-Value_A1_A2_Exempted</vt:lpstr>
    </vt:vector>
  </TitlesOfParts>
  <Company>ZUOP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ZUOP</dc:creator>
  <cp:lastModifiedBy>Andrzej Grzegrzółka</cp:lastModifiedBy>
  <cp:lastPrinted>2006-11-21T10:45:12Z</cp:lastPrinted>
  <dcterms:created xsi:type="dcterms:W3CDTF">2006-08-16T10:34:09Z</dcterms:created>
  <dcterms:modified xsi:type="dcterms:W3CDTF">2025-07-20T16:32:11Z</dcterms:modified>
</cp:coreProperties>
</file>